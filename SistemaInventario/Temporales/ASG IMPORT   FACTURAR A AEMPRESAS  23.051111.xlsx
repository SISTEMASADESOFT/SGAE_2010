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BB14E6-8056-4C6F-8A6E-E661AA0B8B81}" xr6:coauthVersionLast="47" xr6:coauthVersionMax="47" xr10:uidLastSave="{00000000-0000-0000-0000-000000000000}"/>
  <bookViews>
    <workbookView xWindow="20370" yWindow="-2190" windowWidth="21840" windowHeight="13140" activeTab="7" xr2:uid="{00000000-000D-0000-FFFF-FFFF00000000}"/>
  </bookViews>
  <sheets>
    <sheet name="MASTER" sheetId="2" r:id="rId1"/>
    <sheet name="ABC1" sheetId="7" r:id="rId2"/>
    <sheet name="ABC2" sheetId="8" r:id="rId3"/>
    <sheet name="ABC3" sheetId="9" r:id="rId4"/>
    <sheet name="PGP" sheetId="4" r:id="rId5"/>
    <sheet name="CENTRAL" sheetId="5" r:id="rId6"/>
    <sheet name="PRENSAS" sheetId="6" r:id="rId7"/>
    <sheet name="IMPORTACION" sheetId="3" r:id="rId8"/>
  </sheets>
  <definedNames>
    <definedName name="_xlnm._FilterDatabase" localSheetId="2" hidden="1">'ABC2'!$A$1:$T$51</definedName>
    <definedName name="_xlnm._FilterDatabase" localSheetId="3" hidden="1">'ABC3'!$A$1:$T$48</definedName>
    <definedName name="_xlnm._FilterDatabase" localSheetId="5" hidden="1">CENTRAL!$A$1:$C$6</definedName>
    <definedName name="_xlnm._FilterDatabase" localSheetId="0" hidden="1">MASTER!$K$2:$K$53</definedName>
    <definedName name="_xlnm._FilterDatabase" localSheetId="4" hidden="1">PGP!$A$1:$C$1</definedName>
    <definedName name="_xlnm._FilterDatabase" localSheetId="6" hidden="1">PRENSAS!$A$1:$T$49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9" i="2" l="1"/>
  <c r="T49" i="2"/>
  <c r="R49" i="2"/>
  <c r="Q49" i="2"/>
  <c r="P51" i="2"/>
  <c r="O51" i="2"/>
  <c r="N51" i="2"/>
  <c r="P10" i="2"/>
  <c r="P11" i="2"/>
  <c r="P7" i="2"/>
  <c r="T53" i="2"/>
  <c r="S53" i="2"/>
  <c r="R53" i="2"/>
  <c r="Q53" i="2"/>
  <c r="P53" i="2"/>
  <c r="O53" i="2"/>
  <c r="N53" i="2"/>
  <c r="S56" i="2"/>
  <c r="N3" i="2"/>
  <c r="O3" i="2"/>
  <c r="P3" i="2"/>
  <c r="Q3" i="2"/>
  <c r="R3" i="2"/>
  <c r="S3" i="2"/>
  <c r="N4" i="2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7" i="2"/>
  <c r="O7" i="2"/>
  <c r="Q7" i="2"/>
  <c r="R7" i="2"/>
  <c r="S7" i="2"/>
  <c r="N8" i="2"/>
  <c r="O8" i="2"/>
  <c r="P8" i="2"/>
  <c r="Q8" i="2"/>
  <c r="R8" i="2"/>
  <c r="S8" i="2"/>
  <c r="N9" i="2"/>
  <c r="O9" i="2"/>
  <c r="P9" i="2"/>
  <c r="Q9" i="2"/>
  <c r="R9" i="2"/>
  <c r="S9" i="2"/>
  <c r="N10" i="2"/>
  <c r="O10" i="2"/>
  <c r="Q10" i="2"/>
  <c r="R10" i="2"/>
  <c r="S10" i="2"/>
  <c r="N11" i="2"/>
  <c r="O11" i="2"/>
  <c r="Q11" i="2"/>
  <c r="R11" i="2"/>
  <c r="S11" i="2"/>
  <c r="N12" i="2"/>
  <c r="O12" i="2"/>
  <c r="P12" i="2"/>
  <c r="Q12" i="2"/>
  <c r="R12" i="2"/>
  <c r="S12" i="2"/>
  <c r="N13" i="2"/>
  <c r="O13" i="2"/>
  <c r="P13" i="2"/>
  <c r="Q13" i="2"/>
  <c r="R13" i="2"/>
  <c r="S13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7" i="2"/>
  <c r="O17" i="2"/>
  <c r="P17" i="2"/>
  <c r="Q17" i="2"/>
  <c r="R17" i="2"/>
  <c r="S17" i="2"/>
  <c r="N18" i="2"/>
  <c r="O18" i="2"/>
  <c r="P18" i="2"/>
  <c r="Q18" i="2"/>
  <c r="R18" i="2"/>
  <c r="S18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2" i="2"/>
  <c r="O22" i="2"/>
  <c r="P22" i="2"/>
  <c r="Q22" i="2"/>
  <c r="R22" i="2"/>
  <c r="S22" i="2"/>
  <c r="N23" i="2"/>
  <c r="O23" i="2"/>
  <c r="P23" i="2"/>
  <c r="Q23" i="2"/>
  <c r="R23" i="2"/>
  <c r="S23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7" i="2"/>
  <c r="O27" i="2"/>
  <c r="P27" i="2"/>
  <c r="Q27" i="2"/>
  <c r="R27" i="2"/>
  <c r="S27" i="2"/>
  <c r="N28" i="2"/>
  <c r="O28" i="2"/>
  <c r="P28" i="2"/>
  <c r="Q28" i="2"/>
  <c r="R28" i="2"/>
  <c r="S28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2" i="2"/>
  <c r="O32" i="2"/>
  <c r="P32" i="2"/>
  <c r="Q32" i="2"/>
  <c r="R32" i="2"/>
  <c r="S32" i="2"/>
  <c r="N33" i="2"/>
  <c r="O33" i="2"/>
  <c r="P33" i="2"/>
  <c r="Q33" i="2"/>
  <c r="R33" i="2"/>
  <c r="S33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7" i="2"/>
  <c r="O37" i="2"/>
  <c r="P37" i="2"/>
  <c r="Q37" i="2"/>
  <c r="R37" i="2"/>
  <c r="S37" i="2"/>
  <c r="N38" i="2"/>
  <c r="O38" i="2"/>
  <c r="P38" i="2"/>
  <c r="Q38" i="2"/>
  <c r="R38" i="2"/>
  <c r="S38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2" i="2"/>
  <c r="O42" i="2"/>
  <c r="P42" i="2"/>
  <c r="Q42" i="2"/>
  <c r="R42" i="2"/>
  <c r="S42" i="2"/>
  <c r="N43" i="2"/>
  <c r="O43" i="2"/>
  <c r="P43" i="2"/>
  <c r="Q43" i="2"/>
  <c r="R43" i="2"/>
  <c r="S43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7" i="2"/>
  <c r="O47" i="2"/>
  <c r="P47" i="2"/>
  <c r="Q47" i="2"/>
  <c r="R47" i="2"/>
  <c r="S47" i="2"/>
  <c r="N48" i="2"/>
  <c r="O48" i="2"/>
  <c r="P48" i="2"/>
  <c r="Q48" i="2"/>
  <c r="R48" i="2"/>
  <c r="S48" i="2"/>
  <c r="N49" i="2"/>
  <c r="O49" i="2"/>
  <c r="P49" i="2"/>
  <c r="N50" i="2"/>
  <c r="O50" i="2"/>
  <c r="P50" i="2"/>
  <c r="Q50" i="2"/>
  <c r="R50" i="2"/>
  <c r="S50" i="2"/>
  <c r="Q51" i="2"/>
  <c r="R51" i="2"/>
  <c r="S51" i="2"/>
  <c r="N52" i="2"/>
  <c r="O52" i="2"/>
  <c r="P52" i="2"/>
  <c r="Q52" i="2"/>
  <c r="R52" i="2"/>
  <c r="S52" i="2"/>
  <c r="S2" i="2"/>
  <c r="R2" i="2"/>
  <c r="Q2" i="2"/>
  <c r="P2" i="2"/>
  <c r="O2" i="2"/>
  <c r="N2" i="2"/>
  <c r="J3" i="2"/>
  <c r="T3" i="2" s="1"/>
  <c r="J4" i="2"/>
  <c r="T4" i="2" s="1"/>
  <c r="J5" i="2"/>
  <c r="T5" i="2" s="1"/>
  <c r="J6" i="2"/>
  <c r="T6" i="2" s="1"/>
  <c r="J7" i="2"/>
  <c r="T7" i="2" s="1"/>
  <c r="J8" i="2"/>
  <c r="T8" i="2" s="1"/>
  <c r="J9" i="2"/>
  <c r="T9" i="2" s="1"/>
  <c r="J10" i="2"/>
  <c r="T10" i="2" s="1"/>
  <c r="J11" i="2"/>
  <c r="T11" i="2" s="1"/>
  <c r="J12" i="2"/>
  <c r="T12" i="2" s="1"/>
  <c r="J13" i="2"/>
  <c r="T13" i="2" s="1"/>
  <c r="J14" i="2"/>
  <c r="T14" i="2" s="1"/>
  <c r="J15" i="2"/>
  <c r="T15" i="2" s="1"/>
  <c r="J16" i="2"/>
  <c r="T16" i="2" s="1"/>
  <c r="J17" i="2"/>
  <c r="T17" i="2" s="1"/>
  <c r="J18" i="2"/>
  <c r="T18" i="2" s="1"/>
  <c r="J19" i="2"/>
  <c r="T19" i="2" s="1"/>
  <c r="J20" i="2"/>
  <c r="T20" i="2" s="1"/>
  <c r="J21" i="2"/>
  <c r="T21" i="2" s="1"/>
  <c r="J22" i="2"/>
  <c r="T22" i="2" s="1"/>
  <c r="J23" i="2"/>
  <c r="T23" i="2" s="1"/>
  <c r="J24" i="2"/>
  <c r="T24" i="2" s="1"/>
  <c r="J25" i="2"/>
  <c r="T25" i="2" s="1"/>
  <c r="J26" i="2"/>
  <c r="T26" i="2" s="1"/>
  <c r="J27" i="2"/>
  <c r="T27" i="2" s="1"/>
  <c r="J28" i="2"/>
  <c r="T28" i="2" s="1"/>
  <c r="J29" i="2"/>
  <c r="T29" i="2" s="1"/>
  <c r="T30" i="2"/>
  <c r="J31" i="2"/>
  <c r="T31" i="2" s="1"/>
  <c r="J32" i="2"/>
  <c r="T32" i="2" s="1"/>
  <c r="J33" i="2"/>
  <c r="T33" i="2" s="1"/>
  <c r="T34" i="2"/>
  <c r="J35" i="2"/>
  <c r="T35" i="2" s="1"/>
  <c r="T36" i="2"/>
  <c r="T37" i="2"/>
  <c r="T38" i="2"/>
  <c r="J39" i="2"/>
  <c r="T39" i="2" s="1"/>
  <c r="J40" i="2"/>
  <c r="T40" i="2" s="1"/>
  <c r="J41" i="2"/>
  <c r="T41" i="2" s="1"/>
  <c r="J42" i="2"/>
  <c r="T42" i="2" s="1"/>
  <c r="J43" i="2"/>
  <c r="T43" i="2" s="1"/>
  <c r="J44" i="2"/>
  <c r="T44" i="2" s="1"/>
  <c r="J45" i="2"/>
  <c r="T45" i="2" s="1"/>
  <c r="J46" i="2"/>
  <c r="T46" i="2" s="1"/>
  <c r="J47" i="2"/>
  <c r="T47" i="2" s="1"/>
  <c r="J48" i="2"/>
  <c r="T48" i="2" s="1"/>
  <c r="J49" i="2"/>
  <c r="J50" i="2"/>
  <c r="T50" i="2" s="1"/>
  <c r="J51" i="2"/>
  <c r="T51" i="2" s="1"/>
  <c r="J52" i="2"/>
  <c r="T52" i="2" s="1"/>
  <c r="J2" i="2"/>
  <c r="T2" i="2" s="1"/>
</calcChain>
</file>

<file path=xl/sharedStrings.xml><?xml version="1.0" encoding="utf-8"?>
<sst xmlns="http://schemas.openxmlformats.org/spreadsheetml/2006/main" count="429" uniqueCount="109">
  <si>
    <t>CODIGO</t>
  </si>
  <si>
    <t>DESCRIPCION</t>
  </si>
  <si>
    <t>CANTIDAD</t>
  </si>
  <si>
    <t>24350-23800-ACK</t>
  </si>
  <si>
    <t>PIÑON DE LEVAS ADM  TUC SPO G4GC ACKOR</t>
  </si>
  <si>
    <t>24350-26800-ACK</t>
  </si>
  <si>
    <t>PIÑON DE LEVAS ADM RIO ACC G4ED ACKOR</t>
  </si>
  <si>
    <t>24370-2G000-ACK</t>
  </si>
  <si>
    <t>PIÑON DE LEVAS ESC SANTA FE G4KE ACKOR</t>
  </si>
  <si>
    <t>24350-25000-ACK</t>
  </si>
  <si>
    <t>PIÑON DE LEVAS ADM TUC SPO SANTA FE G4KE ACKOR</t>
  </si>
  <si>
    <t>24350-2B010-ACK</t>
  </si>
  <si>
    <t>PIÑON DE LEVAS ADM RIO ACC G4FA FG ACKOR</t>
  </si>
  <si>
    <t>24370-2B800-ACK</t>
  </si>
  <si>
    <t>PIÑON DE LEVAS ESC CER ELA ACC G4FG ACKOR</t>
  </si>
  <si>
    <t>24370-3C102-ACK</t>
  </si>
  <si>
    <t>PIÑON DE LEVAS ESC SANTA FE SOR G6DF G6DC ACKOR</t>
  </si>
  <si>
    <t>24350-3C113-ACK</t>
  </si>
  <si>
    <t>PIÑON DE LEVAS ADM SANTA FE SOR G6DF G6DC ACKOR</t>
  </si>
  <si>
    <t>24350-2E011-ACK</t>
  </si>
  <si>
    <t>PIÑON DE LEVAS ADM TUC SPO G4NA ACKOR</t>
  </si>
  <si>
    <t>24370-2E010-ACK</t>
  </si>
  <si>
    <t>PIÑON DE LEVAS ESC TUC SPO G4NA ACKOR</t>
  </si>
  <si>
    <t>24350-03001-ACK</t>
  </si>
  <si>
    <t>PIÑON DE LEVAS ADM PIC RIO G4LA LC ACKOR</t>
  </si>
  <si>
    <t>24370-03000-ACK</t>
  </si>
  <si>
    <t>PIÑON DE LEVAS ESC PIC ACC G4LA LC ACKOR</t>
  </si>
  <si>
    <t>55568386-ACK</t>
  </si>
  <si>
    <t>PIÑON DE LEVAS ADM SONIC ACKOR</t>
  </si>
  <si>
    <t>55567048-ACK</t>
  </si>
  <si>
    <t>PIÑON DE LEVAS ESC CRUZE SONIC ACKOR</t>
  </si>
  <si>
    <t>55567049-ACK</t>
  </si>
  <si>
    <t>PIÑON DE EJE LEVAS ADM CRUZE ACKOR</t>
  </si>
  <si>
    <t>13050-21041-ACK</t>
  </si>
  <si>
    <t>PIÑON DE LEVAS ADM YARIS 2NZ-FE ACKOR</t>
  </si>
  <si>
    <t>13050-22012-ACK</t>
  </si>
  <si>
    <t>PIÑON DE LEVAS ADM  COROLLA 3ZZ-FE ACKOR</t>
  </si>
  <si>
    <t>24355-23800-ACK</t>
  </si>
  <si>
    <t>VALVULA VVT TUC SPO G4GC ACKOR</t>
  </si>
  <si>
    <t>24375-2E100-ACK</t>
  </si>
  <si>
    <t>VALVULA VVT ESC TUC SPO G4NA KP ACKOR</t>
  </si>
  <si>
    <t>24355-2E100-ACK</t>
  </si>
  <si>
    <t>VALVULA VVT ADM TUC SPO G4NA ACKOR</t>
  </si>
  <si>
    <t>24375-2G500-ACK</t>
  </si>
  <si>
    <t>VALVULA VVT ESC SANTA FE G4KE KP ACKOR</t>
  </si>
  <si>
    <t>24355-2G500-ACK</t>
  </si>
  <si>
    <t>VALVULA VVT ADM SANTA FE G4KE ACKOR</t>
  </si>
  <si>
    <t>24355-2B700-ACK</t>
  </si>
  <si>
    <t>VALVULA VVT ACC RIO G4FA FG ACKOR</t>
  </si>
  <si>
    <t>24355-2B600-ACK</t>
  </si>
  <si>
    <t>VALVULA VVT CER ELA SOUL G4FG ACKOR</t>
  </si>
  <si>
    <t>24355-26710-ACK</t>
  </si>
  <si>
    <t>VALVULA VVT RIO ACC G4ED ACKOR</t>
  </si>
  <si>
    <t>24355-3C100-ACK</t>
  </si>
  <si>
    <t>VALVULA VVT IZQ SANTA FE G6DA ACKOR</t>
  </si>
  <si>
    <t>24355-3C200-ACK</t>
  </si>
  <si>
    <t>VALVULA VVT DER SANTA FE G6DA ACKOR</t>
  </si>
  <si>
    <t>24356-3E000-ACK</t>
  </si>
  <si>
    <t>VALVULA VVT DER SANTA FE G6EA ACKOR</t>
  </si>
  <si>
    <t>24355-3E000-ACK</t>
  </si>
  <si>
    <t>VALVULA VVT IZQ SANTA FE G6EA ACKOR</t>
  </si>
  <si>
    <t>24375-03020-ACK</t>
  </si>
  <si>
    <t>VALVULA VVT ESC RIO G4LA LC KP ACKOR</t>
  </si>
  <si>
    <t>24355-03011-ACK</t>
  </si>
  <si>
    <t>VALVULA VVT ADM RIO PIC G4LA LC KP ACKOR</t>
  </si>
  <si>
    <t>24375-03010-ACK</t>
  </si>
  <si>
    <t>55567050-ACK</t>
  </si>
  <si>
    <t>VALVULA VVT CRUZE F18 ACKOR</t>
  </si>
  <si>
    <t>23796-ED00B-ACK</t>
  </si>
  <si>
    <t>VALVULA VVT VERSA TIIDA ACKOR</t>
  </si>
  <si>
    <t>12655421-ACK</t>
  </si>
  <si>
    <t>VALVULA VVT ESC CAPTIVA ACKOR</t>
  </si>
  <si>
    <t>12655420-ACK</t>
  </si>
  <si>
    <t>VALVULA VVT ADM CAPTIVA ACKOR</t>
  </si>
  <si>
    <t>15830-RBB-003-ACK</t>
  </si>
  <si>
    <t xml:space="preserve">VALVULA VVT HONDA CR-V ACKOR </t>
  </si>
  <si>
    <t>15330-37010-ACK</t>
  </si>
  <si>
    <t>VALVULA VVT COROLLA 1ZR-2ZR ACKOR</t>
  </si>
  <si>
    <t>15330-37020-ACK</t>
  </si>
  <si>
    <t>15330-22030-ACK</t>
  </si>
  <si>
    <t>VALVULA VVT COROLLA 3ZZ 08+ ACKOR</t>
  </si>
  <si>
    <t>15330-21011-ACK</t>
  </si>
  <si>
    <t xml:space="preserve">VALVULA VVT YARIS 1NZ 13+ ACKOR </t>
  </si>
  <si>
    <t>15330-0Y050-ACK</t>
  </si>
  <si>
    <t>VALVULA VVT YARIS AVANZA 1NR ACKOR</t>
  </si>
  <si>
    <t>15330-0Y060-ACK</t>
  </si>
  <si>
    <t>15330-97402-ACK</t>
  </si>
  <si>
    <t>VALVULA VVT AVANZA 3SZ ACKOR</t>
  </si>
  <si>
    <t>7700108674-ACK</t>
  </si>
  <si>
    <t>VALVULA VVT RENAULT CLIO ACKOR</t>
  </si>
  <si>
    <t>8200823650-ACK</t>
  </si>
  <si>
    <t>VALVULA VVT RENAULT MEGANE II 1.6 ACKOR</t>
  </si>
  <si>
    <t>8200642783-ACK</t>
  </si>
  <si>
    <t>VALVULA VVT RENAULT MEGANE III 2.0 ACKOR</t>
  </si>
  <si>
    <t>96525-36480-ACK</t>
  </si>
  <si>
    <t>VALVULA VVT CITROEN C4 PEUGEOT 207 ACKOR</t>
  </si>
  <si>
    <t>15830-R44-A01-ACK</t>
  </si>
  <si>
    <t>VALVULA VVT HONDA CR-V ACKOR</t>
  </si>
  <si>
    <t>23796-EN200-ACK</t>
  </si>
  <si>
    <t>VALVULA VVT NISSAN VERSA 07+ACKOR</t>
  </si>
  <si>
    <t>15330-BZ020-ACK</t>
  </si>
  <si>
    <t>VALVULA VVT DAIHATSU ACKOR</t>
  </si>
  <si>
    <t>ARA</t>
  </si>
  <si>
    <t>ABC</t>
  </si>
  <si>
    <t>PGP</t>
  </si>
  <si>
    <t>CENTRAL</t>
  </si>
  <si>
    <t xml:space="preserve">KORE JAPÁN </t>
  </si>
  <si>
    <t>ALVARADO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</si>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</sst>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9"/>
      <color theme="1"/>
      <name val="Tahoma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2" xfId="5" applyFont="1" applyFill="1" applyBorder="1" applyAlignment="1">
      <alignment horizontal="center" vertical="center" shrinkToFit="1"/>
    </xf>
    <xf numFmtId="0" fontId="6" fillId="2" borderId="1" xfId="3" applyFont="1" applyFill="1" applyBorder="1" applyAlignment="1">
      <alignment horizontal="center" vertical="center" shrinkToFit="1"/>
    </xf>
    <xf numFmtId="0" fontId="3" fillId="2" borderId="3" xfId="3" applyFont="1" applyFill="1" applyBorder="1" applyAlignment="1">
      <alignment horizontal="center" vertical="center" shrinkToFi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2" borderId="7" xfId="3" applyFont="1" applyFill="1" applyBorder="1" applyAlignment="1">
      <alignment horizontal="center" vertical="center" shrinkToFit="1"/>
    </xf>
    <xf numFmtId="0" fontId="6" fillId="2" borderId="8" xfId="3" applyFont="1" applyFill="1" applyBorder="1" applyAlignment="1">
      <alignment horizontal="center" vertical="center" shrinkToFit="1"/>
    </xf>
    <xf numFmtId="164" fontId="6" fillId="3" borderId="2" xfId="2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4" borderId="4" xfId="0" applyFont="1" applyFill="1" applyBorder="1"/>
    <xf numFmtId="43" fontId="0" fillId="0" borderId="0" xfId="6" applyFont="1"/>
    <xf numFmtId="43" fontId="0" fillId="0" borderId="0" xfId="6" applyFon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10" xfId="0" applyNumberFormat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0" fontId="6" fillId="2" borderId="9" xfId="3" applyFont="1" applyFill="1" applyBorder="1" applyAlignment="1">
      <alignment horizontal="center" vertical="center" shrinkToFit="1"/>
    </xf>
    <xf numFmtId="0" fontId="6" fillId="2" borderId="13" xfId="3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/>
    </xf>
    <xf numFmtId="0" fontId="7" fillId="4" borderId="0" xfId="0" applyFont="1" applyFill="1"/>
    <xf numFmtId="0" fontId="0" fillId="0" borderId="15" xfId="0" applyBorder="1" applyAlignment="1">
      <alignment horizontal="center"/>
    </xf>
    <xf numFmtId="0" fontId="0" fillId="5" borderId="0" xfId="0" applyFill="1"/>
    <xf numFmtId="43" fontId="0" fillId="0" borderId="4" xfId="6" applyFont="1" applyBorder="1" applyAlignment="1">
      <alignment horizontal="center"/>
    </xf>
    <xf numFmtId="43" fontId="0" fillId="0" borderId="0" xfId="6" applyFont="1" applyBorder="1" applyAlignment="1">
      <alignment horizontal="center"/>
    </xf>
    <xf numFmtId="43" fontId="0" fillId="0" borderId="14" xfId="6" applyFont="1" applyBorder="1" applyAlignment="1">
      <alignment horizontal="center"/>
    </xf>
    <xf numFmtId="43" fontId="0" fillId="6" borderId="11" xfId="0" applyNumberFormat="1" applyFill="1" applyBorder="1" applyAlignment="1">
      <alignment horizontal="center"/>
    </xf>
    <xf numFmtId="43" fontId="0" fillId="6" borderId="12" xfId="0" applyNumberFormat="1" applyFill="1" applyBorder="1" applyAlignment="1">
      <alignment horizontal="center"/>
    </xf>
    <xf numFmtId="0" fontId="6" fillId="6" borderId="13" xfId="3" applyFont="1" applyFill="1" applyBorder="1" applyAlignment="1">
      <alignment horizontal="center" vertical="center" shrinkToFit="1"/>
    </xf>
    <xf numFmtId="43" fontId="7" fillId="6" borderId="0" xfId="6" applyFont="1" applyFill="1"/>
    <xf numFmtId="49" fontId="3" fillId="2" borderId="3" xfId="3" applyNumberFormat="1" applyFont="1" applyFill="1" applyBorder="1" applyAlignment="1">
      <alignment horizontal="center" vertical="center" shrinkToFit="1"/>
    </xf>
    <xf numFmtId="49" fontId="0" fillId="0" borderId="4" xfId="0" applyNumberFormat="1" applyBorder="1"/>
    <xf numFmtId="49" fontId="7" fillId="4" borderId="4" xfId="0" applyNumberFormat="1" applyFont="1" applyFill="1" applyBorder="1"/>
    <xf numFmtId="49" fontId="0" fillId="0" borderId="5" xfId="0" applyNumberFormat="1" applyBorder="1"/>
    <xf numFmtId="49" fontId="0" fillId="0" borderId="0" xfId="0" applyNumberFormat="1"/>
  </cellXfs>
  <cellStyles count="7">
    <cellStyle name="Millares" xfId="6" builtinId="3"/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opLeftCell="C34" workbookViewId="0">
      <selection activeCell="C27" sqref="C27"/>
    </sheetView>
  </sheetViews>
  <sheetFormatPr baseColWidth="10" defaultRowHeight="15" x14ac:dyDescent="0.25"/>
  <cols>
    <col min="1" max="1" width="17.42578125" bestFit="1" customWidth="1"/>
    <col min="2" max="2" width="45.85546875" customWidth="1"/>
    <col min="3" max="3" width="9.140625" style="11" bestFit="1" customWidth="1"/>
    <col min="4" max="10" width="9.140625" style="10" customWidth="1"/>
    <col min="11" max="11" width="4" style="10" customWidth="1"/>
    <col min="12" max="12" width="8.28515625" style="15" bestFit="1" customWidth="1"/>
    <col min="13" max="13" width="5" style="15" customWidth="1"/>
    <col min="14" max="20" width="11" style="10"/>
    <col min="21" max="21" width="8.140625" style="26" customWidth="1"/>
  </cols>
  <sheetData>
    <row r="1" spans="1:20" x14ac:dyDescent="0.25">
      <c r="A1" s="3" t="s">
        <v>0</v>
      </c>
      <c r="B1" s="1" t="s">
        <v>1</v>
      </c>
      <c r="C1" s="9" t="s">
        <v>2</v>
      </c>
      <c r="D1" s="8" t="s">
        <v>107</v>
      </c>
      <c r="E1" s="2" t="s">
        <v>104</v>
      </c>
      <c r="F1" s="2" t="s">
        <v>105</v>
      </c>
      <c r="G1" s="7" t="s">
        <v>106</v>
      </c>
      <c r="H1" s="2" t="s">
        <v>103</v>
      </c>
      <c r="I1" s="7" t="s">
        <v>103</v>
      </c>
      <c r="J1" s="2" t="s">
        <v>103</v>
      </c>
      <c r="L1" s="33" t="s">
        <v>108</v>
      </c>
      <c r="N1" s="8" t="s">
        <v>107</v>
      </c>
      <c r="O1" s="2" t="s">
        <v>104</v>
      </c>
      <c r="P1" s="2" t="s">
        <v>105</v>
      </c>
      <c r="Q1" s="7" t="s">
        <v>106</v>
      </c>
      <c r="R1" s="2" t="s">
        <v>103</v>
      </c>
      <c r="S1" s="7" t="s">
        <v>103</v>
      </c>
      <c r="T1" s="2" t="s">
        <v>103</v>
      </c>
    </row>
    <row r="2" spans="1:20" x14ac:dyDescent="0.25">
      <c r="A2" s="4" t="s">
        <v>3</v>
      </c>
      <c r="B2" t="s">
        <v>4</v>
      </c>
      <c r="C2" s="11">
        <v>50</v>
      </c>
      <c r="D2" s="10">
        <v>10</v>
      </c>
      <c r="E2" s="10">
        <v>2</v>
      </c>
      <c r="G2" s="10">
        <v>5</v>
      </c>
      <c r="H2" s="10">
        <v>5</v>
      </c>
      <c r="J2" s="23">
        <f t="shared" ref="J2:J29" si="0">+C2-D2-H2-E2-F2-G2-I2</f>
        <v>28</v>
      </c>
      <c r="L2" s="15">
        <v>22</v>
      </c>
      <c r="N2" s="27">
        <f>+L2*D2</f>
        <v>220</v>
      </c>
      <c r="O2" s="28">
        <f>+L2*E2</f>
        <v>44</v>
      </c>
      <c r="P2" s="28">
        <f>+L2*F2</f>
        <v>0</v>
      </c>
      <c r="Q2" s="28">
        <f>+L2*G2</f>
        <v>110</v>
      </c>
      <c r="R2" s="28">
        <f>+L2*H2</f>
        <v>110</v>
      </c>
      <c r="S2" s="28">
        <f>+L2*I2</f>
        <v>0</v>
      </c>
      <c r="T2" s="29">
        <f>+J2*L2</f>
        <v>616</v>
      </c>
    </row>
    <row r="3" spans="1:20" x14ac:dyDescent="0.25">
      <c r="A3" s="4" t="s">
        <v>5</v>
      </c>
      <c r="B3" t="s">
        <v>6</v>
      </c>
      <c r="C3" s="11">
        <v>50</v>
      </c>
      <c r="D3" s="10">
        <v>10</v>
      </c>
      <c r="E3" s="10">
        <v>2</v>
      </c>
      <c r="G3" s="10">
        <v>5</v>
      </c>
      <c r="H3" s="10">
        <v>6</v>
      </c>
      <c r="I3" s="10">
        <v>8</v>
      </c>
      <c r="J3" s="23">
        <f t="shared" si="0"/>
        <v>19</v>
      </c>
      <c r="L3" s="15">
        <v>22</v>
      </c>
      <c r="N3" s="27">
        <f t="shared" ref="N3:N52" si="1">+L3*D3</f>
        <v>220</v>
      </c>
      <c r="O3" s="28">
        <f t="shared" ref="O3:O52" si="2">+L3*E3</f>
        <v>44</v>
      </c>
      <c r="P3" s="28">
        <f t="shared" ref="P3:P52" si="3">+L3*F3</f>
        <v>0</v>
      </c>
      <c r="Q3" s="28">
        <f t="shared" ref="Q3:Q52" si="4">+L3*G3</f>
        <v>110</v>
      </c>
      <c r="R3" s="28">
        <f t="shared" ref="R3:R52" si="5">+L3*H3</f>
        <v>132</v>
      </c>
      <c r="S3" s="28">
        <f t="shared" ref="S3:S52" si="6">+L3*I3</f>
        <v>176</v>
      </c>
      <c r="T3" s="29">
        <f t="shared" ref="T3:T52" si="7">+J3*L3</f>
        <v>418</v>
      </c>
    </row>
    <row r="4" spans="1:20" x14ac:dyDescent="0.25">
      <c r="A4" s="4" t="s">
        <v>7</v>
      </c>
      <c r="B4" t="s">
        <v>8</v>
      </c>
      <c r="C4" s="11">
        <v>100</v>
      </c>
      <c r="D4" s="10">
        <v>10</v>
      </c>
      <c r="E4" s="10">
        <v>2</v>
      </c>
      <c r="G4" s="10">
        <v>5</v>
      </c>
      <c r="H4" s="10">
        <v>6</v>
      </c>
      <c r="I4" s="10">
        <v>8</v>
      </c>
      <c r="J4" s="23">
        <f t="shared" si="0"/>
        <v>69</v>
      </c>
      <c r="L4" s="15">
        <v>22</v>
      </c>
      <c r="N4" s="27">
        <f t="shared" si="1"/>
        <v>220</v>
      </c>
      <c r="O4" s="28">
        <f t="shared" si="2"/>
        <v>44</v>
      </c>
      <c r="P4" s="28">
        <f t="shared" si="3"/>
        <v>0</v>
      </c>
      <c r="Q4" s="28">
        <f t="shared" si="4"/>
        <v>110</v>
      </c>
      <c r="R4" s="28">
        <f t="shared" si="5"/>
        <v>132</v>
      </c>
      <c r="S4" s="28">
        <f t="shared" si="6"/>
        <v>176</v>
      </c>
      <c r="T4" s="29">
        <f t="shared" si="7"/>
        <v>1518</v>
      </c>
    </row>
    <row r="5" spans="1:20" x14ac:dyDescent="0.25">
      <c r="A5" s="4" t="s">
        <v>9</v>
      </c>
      <c r="B5" t="s">
        <v>10</v>
      </c>
      <c r="C5" s="11">
        <v>100</v>
      </c>
      <c r="D5" s="10">
        <v>10</v>
      </c>
      <c r="E5" s="10">
        <v>2</v>
      </c>
      <c r="F5" s="10">
        <v>2</v>
      </c>
      <c r="G5" s="10">
        <v>5</v>
      </c>
      <c r="H5" s="10">
        <v>10</v>
      </c>
      <c r="I5" s="10">
        <v>8</v>
      </c>
      <c r="J5" s="23">
        <f t="shared" si="0"/>
        <v>63</v>
      </c>
      <c r="L5" s="15">
        <v>22</v>
      </c>
      <c r="N5" s="27">
        <f t="shared" si="1"/>
        <v>220</v>
      </c>
      <c r="O5" s="28">
        <f t="shared" si="2"/>
        <v>44</v>
      </c>
      <c r="P5" s="28">
        <f t="shared" si="3"/>
        <v>44</v>
      </c>
      <c r="Q5" s="28">
        <f t="shared" si="4"/>
        <v>110</v>
      </c>
      <c r="R5" s="28">
        <f t="shared" si="5"/>
        <v>220</v>
      </c>
      <c r="S5" s="28">
        <f t="shared" si="6"/>
        <v>176</v>
      </c>
      <c r="T5" s="29">
        <f t="shared" si="7"/>
        <v>1386</v>
      </c>
    </row>
    <row r="6" spans="1:20" x14ac:dyDescent="0.25">
      <c r="A6" s="4" t="s">
        <v>11</v>
      </c>
      <c r="B6" t="s">
        <v>12</v>
      </c>
      <c r="C6" s="11">
        <v>100</v>
      </c>
      <c r="D6" s="10">
        <v>10</v>
      </c>
      <c r="E6" s="10">
        <v>2</v>
      </c>
      <c r="F6" s="10">
        <v>2</v>
      </c>
      <c r="G6" s="10">
        <v>5</v>
      </c>
      <c r="H6" s="10">
        <v>10</v>
      </c>
      <c r="I6" s="10">
        <v>8</v>
      </c>
      <c r="J6" s="23">
        <f t="shared" si="0"/>
        <v>63</v>
      </c>
      <c r="L6" s="15">
        <v>22</v>
      </c>
      <c r="N6" s="27">
        <f t="shared" si="1"/>
        <v>220</v>
      </c>
      <c r="O6" s="28">
        <f t="shared" si="2"/>
        <v>44</v>
      </c>
      <c r="P6" s="28">
        <f t="shared" si="3"/>
        <v>44</v>
      </c>
      <c r="Q6" s="28">
        <f t="shared" si="4"/>
        <v>110</v>
      </c>
      <c r="R6" s="28">
        <f t="shared" si="5"/>
        <v>220</v>
      </c>
      <c r="S6" s="28">
        <f t="shared" si="6"/>
        <v>176</v>
      </c>
      <c r="T6" s="29">
        <f t="shared" si="7"/>
        <v>1386</v>
      </c>
    </row>
    <row r="7" spans="1:20" x14ac:dyDescent="0.25">
      <c r="A7" s="4" t="s">
        <v>13</v>
      </c>
      <c r="B7" t="s">
        <v>14</v>
      </c>
      <c r="C7" s="11">
        <v>100</v>
      </c>
      <c r="D7" s="10">
        <v>10</v>
      </c>
      <c r="E7" s="10">
        <v>2</v>
      </c>
      <c r="F7" s="10">
        <v>2</v>
      </c>
      <c r="G7" s="10">
        <v>5</v>
      </c>
      <c r="H7" s="10">
        <v>10</v>
      </c>
      <c r="I7" s="10">
        <v>8</v>
      </c>
      <c r="J7" s="23">
        <f t="shared" si="0"/>
        <v>63</v>
      </c>
      <c r="L7" s="15">
        <v>31</v>
      </c>
      <c r="N7" s="27">
        <f t="shared" si="1"/>
        <v>310</v>
      </c>
      <c r="O7" s="28">
        <f t="shared" si="2"/>
        <v>62</v>
      </c>
      <c r="P7" s="28">
        <f>+L7*F7</f>
        <v>62</v>
      </c>
      <c r="Q7" s="28">
        <f t="shared" si="4"/>
        <v>155</v>
      </c>
      <c r="R7" s="28">
        <f t="shared" si="5"/>
        <v>310</v>
      </c>
      <c r="S7" s="28">
        <f t="shared" si="6"/>
        <v>248</v>
      </c>
      <c r="T7" s="29">
        <f t="shared" si="7"/>
        <v>1953</v>
      </c>
    </row>
    <row r="8" spans="1:20" x14ac:dyDescent="0.25">
      <c r="A8" s="4" t="s">
        <v>15</v>
      </c>
      <c r="B8" t="s">
        <v>16</v>
      </c>
      <c r="C8" s="11">
        <v>20</v>
      </c>
      <c r="D8" s="10">
        <v>5</v>
      </c>
      <c r="E8" s="10">
        <v>2</v>
      </c>
      <c r="G8" s="10">
        <v>2</v>
      </c>
      <c r="H8" s="10">
        <v>3</v>
      </c>
      <c r="I8" s="10">
        <v>8</v>
      </c>
      <c r="J8" s="23">
        <f t="shared" si="0"/>
        <v>0</v>
      </c>
      <c r="L8" s="15">
        <v>31</v>
      </c>
      <c r="N8" s="27">
        <f t="shared" si="1"/>
        <v>155</v>
      </c>
      <c r="O8" s="28">
        <f t="shared" si="2"/>
        <v>62</v>
      </c>
      <c r="P8" s="28">
        <f t="shared" si="3"/>
        <v>0</v>
      </c>
      <c r="Q8" s="28">
        <f t="shared" si="4"/>
        <v>62</v>
      </c>
      <c r="R8" s="28">
        <f t="shared" si="5"/>
        <v>93</v>
      </c>
      <c r="S8" s="28">
        <f t="shared" si="6"/>
        <v>248</v>
      </c>
      <c r="T8" s="29">
        <f t="shared" si="7"/>
        <v>0</v>
      </c>
    </row>
    <row r="9" spans="1:20" x14ac:dyDescent="0.25">
      <c r="A9" s="4" t="s">
        <v>17</v>
      </c>
      <c r="B9" t="s">
        <v>18</v>
      </c>
      <c r="C9" s="11">
        <v>20</v>
      </c>
      <c r="D9" s="10">
        <v>5</v>
      </c>
      <c r="E9" s="10">
        <v>2</v>
      </c>
      <c r="G9" s="10">
        <v>2</v>
      </c>
      <c r="H9" s="10">
        <v>3</v>
      </c>
      <c r="I9" s="10">
        <v>8</v>
      </c>
      <c r="J9" s="23">
        <f t="shared" si="0"/>
        <v>0</v>
      </c>
      <c r="L9" s="15">
        <v>31</v>
      </c>
      <c r="N9" s="27">
        <f t="shared" si="1"/>
        <v>155</v>
      </c>
      <c r="O9" s="28">
        <f t="shared" si="2"/>
        <v>62</v>
      </c>
      <c r="P9" s="28">
        <f t="shared" si="3"/>
        <v>0</v>
      </c>
      <c r="Q9" s="28">
        <f t="shared" si="4"/>
        <v>62</v>
      </c>
      <c r="R9" s="28">
        <f t="shared" si="5"/>
        <v>93</v>
      </c>
      <c r="S9" s="28">
        <f t="shared" si="6"/>
        <v>248</v>
      </c>
      <c r="T9" s="29">
        <f t="shared" si="7"/>
        <v>0</v>
      </c>
    </row>
    <row r="10" spans="1:20" x14ac:dyDescent="0.25">
      <c r="A10" s="4" t="s">
        <v>19</v>
      </c>
      <c r="B10" t="s">
        <v>20</v>
      </c>
      <c r="C10" s="11">
        <v>100</v>
      </c>
      <c r="D10" s="10">
        <v>10</v>
      </c>
      <c r="E10" s="10">
        <v>2</v>
      </c>
      <c r="F10" s="10">
        <v>2</v>
      </c>
      <c r="G10" s="10">
        <v>5</v>
      </c>
      <c r="H10" s="10">
        <v>10</v>
      </c>
      <c r="I10" s="10">
        <v>8</v>
      </c>
      <c r="J10" s="23">
        <f t="shared" si="0"/>
        <v>63</v>
      </c>
      <c r="L10" s="15">
        <v>21</v>
      </c>
      <c r="N10" s="27">
        <f t="shared" si="1"/>
        <v>210</v>
      </c>
      <c r="O10" s="28">
        <f t="shared" si="2"/>
        <v>42</v>
      </c>
      <c r="P10" s="28">
        <f>+L10*F10</f>
        <v>42</v>
      </c>
      <c r="Q10" s="28">
        <f t="shared" si="4"/>
        <v>105</v>
      </c>
      <c r="R10" s="28">
        <f t="shared" si="5"/>
        <v>210</v>
      </c>
      <c r="S10" s="28">
        <f t="shared" si="6"/>
        <v>168</v>
      </c>
      <c r="T10" s="29">
        <f t="shared" si="7"/>
        <v>1323</v>
      </c>
    </row>
    <row r="11" spans="1:20" x14ac:dyDescent="0.25">
      <c r="A11" s="4" t="s">
        <v>21</v>
      </c>
      <c r="B11" t="s">
        <v>22</v>
      </c>
      <c r="C11" s="11">
        <v>100</v>
      </c>
      <c r="D11" s="10">
        <v>10</v>
      </c>
      <c r="E11" s="10">
        <v>2</v>
      </c>
      <c r="F11" s="10">
        <v>2</v>
      </c>
      <c r="G11" s="10">
        <v>5</v>
      </c>
      <c r="H11" s="10">
        <v>10</v>
      </c>
      <c r="I11" s="10">
        <v>8</v>
      </c>
      <c r="J11" s="23">
        <f t="shared" si="0"/>
        <v>63</v>
      </c>
      <c r="L11" s="15">
        <v>21</v>
      </c>
      <c r="N11" s="27">
        <f t="shared" si="1"/>
        <v>210</v>
      </c>
      <c r="O11" s="28">
        <f t="shared" si="2"/>
        <v>42</v>
      </c>
      <c r="P11" s="28">
        <f>+L11*F11</f>
        <v>42</v>
      </c>
      <c r="Q11" s="28">
        <f t="shared" si="4"/>
        <v>105</v>
      </c>
      <c r="R11" s="28">
        <f t="shared" si="5"/>
        <v>210</v>
      </c>
      <c r="S11" s="28">
        <f t="shared" si="6"/>
        <v>168</v>
      </c>
      <c r="T11" s="29">
        <f t="shared" si="7"/>
        <v>1323</v>
      </c>
    </row>
    <row r="12" spans="1:20" x14ac:dyDescent="0.25">
      <c r="A12" s="4" t="s">
        <v>23</v>
      </c>
      <c r="B12" t="s">
        <v>24</v>
      </c>
      <c r="C12" s="11">
        <v>100</v>
      </c>
      <c r="D12" s="10">
        <v>10</v>
      </c>
      <c r="E12" s="10">
        <v>2</v>
      </c>
      <c r="G12" s="10">
        <v>5</v>
      </c>
      <c r="H12" s="10">
        <v>10</v>
      </c>
      <c r="I12" s="10">
        <v>8</v>
      </c>
      <c r="J12" s="23">
        <f t="shared" si="0"/>
        <v>65</v>
      </c>
      <c r="L12" s="15">
        <v>24</v>
      </c>
      <c r="N12" s="27">
        <f t="shared" si="1"/>
        <v>240</v>
      </c>
      <c r="O12" s="28">
        <f t="shared" si="2"/>
        <v>48</v>
      </c>
      <c r="P12" s="28">
        <f t="shared" si="3"/>
        <v>0</v>
      </c>
      <c r="Q12" s="28">
        <f t="shared" si="4"/>
        <v>120</v>
      </c>
      <c r="R12" s="28">
        <f t="shared" si="5"/>
        <v>240</v>
      </c>
      <c r="S12" s="28">
        <f t="shared" si="6"/>
        <v>192</v>
      </c>
      <c r="T12" s="29">
        <f t="shared" si="7"/>
        <v>1560</v>
      </c>
    </row>
    <row r="13" spans="1:20" x14ac:dyDescent="0.25">
      <c r="A13" s="4" t="s">
        <v>25</v>
      </c>
      <c r="B13" t="s">
        <v>26</v>
      </c>
      <c r="C13" s="11">
        <v>100</v>
      </c>
      <c r="D13" s="10">
        <v>10</v>
      </c>
      <c r="E13" s="10">
        <v>2</v>
      </c>
      <c r="G13" s="10">
        <v>5</v>
      </c>
      <c r="H13" s="10">
        <v>10</v>
      </c>
      <c r="I13" s="10">
        <v>8</v>
      </c>
      <c r="J13" s="23">
        <f t="shared" si="0"/>
        <v>65</v>
      </c>
      <c r="L13" s="15">
        <v>24</v>
      </c>
      <c r="N13" s="27">
        <f t="shared" si="1"/>
        <v>240</v>
      </c>
      <c r="O13" s="28">
        <f t="shared" si="2"/>
        <v>48</v>
      </c>
      <c r="P13" s="28">
        <f t="shared" si="3"/>
        <v>0</v>
      </c>
      <c r="Q13" s="28">
        <f t="shared" si="4"/>
        <v>120</v>
      </c>
      <c r="R13" s="28">
        <f t="shared" si="5"/>
        <v>240</v>
      </c>
      <c r="S13" s="28">
        <f t="shared" si="6"/>
        <v>192</v>
      </c>
      <c r="T13" s="29">
        <f t="shared" si="7"/>
        <v>1560</v>
      </c>
    </row>
    <row r="14" spans="1:20" x14ac:dyDescent="0.25">
      <c r="A14" s="4" t="s">
        <v>27</v>
      </c>
      <c r="B14" t="s">
        <v>28</v>
      </c>
      <c r="C14" s="11">
        <v>200</v>
      </c>
      <c r="D14" s="10">
        <v>10</v>
      </c>
      <c r="E14" s="10">
        <v>2</v>
      </c>
      <c r="G14" s="10">
        <v>5</v>
      </c>
      <c r="H14" s="10">
        <v>10</v>
      </c>
      <c r="I14" s="10">
        <v>8</v>
      </c>
      <c r="J14" s="23">
        <f t="shared" si="0"/>
        <v>165</v>
      </c>
      <c r="L14" s="15">
        <v>31</v>
      </c>
      <c r="N14" s="27">
        <f t="shared" si="1"/>
        <v>310</v>
      </c>
      <c r="O14" s="28">
        <f t="shared" si="2"/>
        <v>62</v>
      </c>
      <c r="P14" s="28">
        <f t="shared" si="3"/>
        <v>0</v>
      </c>
      <c r="Q14" s="28">
        <f t="shared" si="4"/>
        <v>155</v>
      </c>
      <c r="R14" s="28">
        <f t="shared" si="5"/>
        <v>310</v>
      </c>
      <c r="S14" s="28">
        <f t="shared" si="6"/>
        <v>248</v>
      </c>
      <c r="T14" s="29">
        <f t="shared" si="7"/>
        <v>5115</v>
      </c>
    </row>
    <row r="15" spans="1:20" x14ac:dyDescent="0.25">
      <c r="A15" s="4" t="s">
        <v>29</v>
      </c>
      <c r="B15" t="s">
        <v>30</v>
      </c>
      <c r="C15" s="11">
        <v>200</v>
      </c>
      <c r="D15" s="10">
        <v>10</v>
      </c>
      <c r="E15" s="10">
        <v>2</v>
      </c>
      <c r="G15" s="10">
        <v>5</v>
      </c>
      <c r="H15" s="10">
        <v>10</v>
      </c>
      <c r="I15" s="10">
        <v>8</v>
      </c>
      <c r="J15" s="23">
        <f t="shared" si="0"/>
        <v>165</v>
      </c>
      <c r="L15" s="15">
        <v>31</v>
      </c>
      <c r="N15" s="27">
        <f t="shared" si="1"/>
        <v>310</v>
      </c>
      <c r="O15" s="28">
        <f t="shared" si="2"/>
        <v>62</v>
      </c>
      <c r="P15" s="28">
        <f t="shared" si="3"/>
        <v>0</v>
      </c>
      <c r="Q15" s="28">
        <f t="shared" si="4"/>
        <v>155</v>
      </c>
      <c r="R15" s="28">
        <f t="shared" si="5"/>
        <v>310</v>
      </c>
      <c r="S15" s="28">
        <f t="shared" si="6"/>
        <v>248</v>
      </c>
      <c r="T15" s="29">
        <f t="shared" si="7"/>
        <v>5115</v>
      </c>
    </row>
    <row r="16" spans="1:20" x14ac:dyDescent="0.25">
      <c r="A16" s="4" t="s">
        <v>31</v>
      </c>
      <c r="B16" t="s">
        <v>32</v>
      </c>
      <c r="C16" s="11">
        <v>200</v>
      </c>
      <c r="D16" s="10">
        <v>10</v>
      </c>
      <c r="E16" s="10">
        <v>2</v>
      </c>
      <c r="G16" s="10">
        <v>5</v>
      </c>
      <c r="H16" s="10">
        <v>10</v>
      </c>
      <c r="I16" s="10">
        <v>8</v>
      </c>
      <c r="J16" s="23">
        <f t="shared" si="0"/>
        <v>165</v>
      </c>
      <c r="L16" s="15">
        <v>31</v>
      </c>
      <c r="N16" s="27">
        <f t="shared" si="1"/>
        <v>310</v>
      </c>
      <c r="O16" s="28">
        <f t="shared" si="2"/>
        <v>62</v>
      </c>
      <c r="P16" s="28">
        <f t="shared" si="3"/>
        <v>0</v>
      </c>
      <c r="Q16" s="28">
        <f t="shared" si="4"/>
        <v>155</v>
      </c>
      <c r="R16" s="28">
        <f t="shared" si="5"/>
        <v>310</v>
      </c>
      <c r="S16" s="28">
        <f t="shared" si="6"/>
        <v>248</v>
      </c>
      <c r="T16" s="29">
        <f t="shared" si="7"/>
        <v>5115</v>
      </c>
    </row>
    <row r="17" spans="1:20" x14ac:dyDescent="0.25">
      <c r="A17" s="4" t="s">
        <v>33</v>
      </c>
      <c r="B17" t="s">
        <v>34</v>
      </c>
      <c r="C17" s="11">
        <v>20</v>
      </c>
      <c r="D17" s="10">
        <v>5</v>
      </c>
      <c r="E17" s="10">
        <v>2</v>
      </c>
      <c r="H17" s="10">
        <v>3</v>
      </c>
      <c r="I17" s="10">
        <v>8</v>
      </c>
      <c r="J17" s="23">
        <f t="shared" si="0"/>
        <v>2</v>
      </c>
      <c r="L17" s="15">
        <v>24</v>
      </c>
      <c r="N17" s="27">
        <f t="shared" si="1"/>
        <v>120</v>
      </c>
      <c r="O17" s="28">
        <f t="shared" si="2"/>
        <v>48</v>
      </c>
      <c r="P17" s="28">
        <f t="shared" si="3"/>
        <v>0</v>
      </c>
      <c r="Q17" s="28">
        <f t="shared" si="4"/>
        <v>0</v>
      </c>
      <c r="R17" s="28">
        <f t="shared" si="5"/>
        <v>72</v>
      </c>
      <c r="S17" s="28">
        <f t="shared" si="6"/>
        <v>192</v>
      </c>
      <c r="T17" s="29">
        <f t="shared" si="7"/>
        <v>48</v>
      </c>
    </row>
    <row r="18" spans="1:20" x14ac:dyDescent="0.25">
      <c r="A18" s="4" t="s">
        <v>35</v>
      </c>
      <c r="B18" t="s">
        <v>36</v>
      </c>
      <c r="C18" s="11">
        <v>30</v>
      </c>
      <c r="D18" s="10">
        <v>5</v>
      </c>
      <c r="E18" s="10">
        <v>2</v>
      </c>
      <c r="H18" s="10">
        <v>5</v>
      </c>
      <c r="I18" s="10">
        <v>8</v>
      </c>
      <c r="J18" s="23">
        <f t="shared" si="0"/>
        <v>10</v>
      </c>
      <c r="L18" s="15">
        <v>24</v>
      </c>
      <c r="N18" s="27">
        <f t="shared" si="1"/>
        <v>120</v>
      </c>
      <c r="O18" s="28">
        <f t="shared" si="2"/>
        <v>48</v>
      </c>
      <c r="P18" s="28">
        <f t="shared" si="3"/>
        <v>0</v>
      </c>
      <c r="Q18" s="28">
        <f t="shared" si="4"/>
        <v>0</v>
      </c>
      <c r="R18" s="28">
        <f t="shared" si="5"/>
        <v>120</v>
      </c>
      <c r="S18" s="28">
        <f t="shared" si="6"/>
        <v>192</v>
      </c>
      <c r="T18" s="29">
        <f t="shared" si="7"/>
        <v>240</v>
      </c>
    </row>
    <row r="19" spans="1:20" ht="14.25" x14ac:dyDescent="0.25">
      <c r="A19" s="4" t="s">
        <v>37</v>
      </c>
      <c r="B19" t="s">
        <v>38</v>
      </c>
      <c r="C19" s="11">
        <v>50</v>
      </c>
      <c r="D19" s="10">
        <v>10</v>
      </c>
      <c r="E19" s="10">
        <v>2</v>
      </c>
      <c r="G19" s="10">
        <v>2</v>
      </c>
      <c r="H19" s="10">
        <v>5</v>
      </c>
      <c r="I19" s="10">
        <v>8</v>
      </c>
      <c r="J19" s="23">
        <f t="shared" si="0"/>
        <v>23</v>
      </c>
      <c r="L19" s="15">
        <v>9</v>
      </c>
      <c r="N19" s="27">
        <f t="shared" si="1"/>
        <v>90</v>
      </c>
      <c r="O19" s="28">
        <f t="shared" si="2"/>
        <v>18</v>
      </c>
      <c r="P19" s="28">
        <f t="shared" si="3"/>
        <v>0</v>
      </c>
      <c r="Q19" s="28">
        <f t="shared" si="4"/>
        <v>18</v>
      </c>
      <c r="R19" s="28">
        <f t="shared" si="5"/>
        <v>45</v>
      </c>
      <c r="S19" s="28">
        <f t="shared" si="6"/>
        <v>72</v>
      </c>
      <c r="T19" s="29">
        <f t="shared" si="7"/>
        <v>207</v>
      </c>
    </row>
    <row r="20" spans="1:20" ht="14.25" x14ac:dyDescent="0.25">
      <c r="A20" s="4" t="s">
        <v>39</v>
      </c>
      <c r="B20" t="s">
        <v>40</v>
      </c>
      <c r="C20" s="11">
        <v>100</v>
      </c>
      <c r="D20" s="10">
        <v>10</v>
      </c>
      <c r="E20" s="10">
        <v>2</v>
      </c>
      <c r="G20" s="10">
        <v>1</v>
      </c>
      <c r="H20" s="10">
        <v>5</v>
      </c>
      <c r="I20" s="10">
        <v>8</v>
      </c>
      <c r="J20" s="23">
        <f t="shared" si="0"/>
        <v>74</v>
      </c>
      <c r="L20" s="15">
        <v>10</v>
      </c>
      <c r="N20" s="27">
        <f t="shared" si="1"/>
        <v>100</v>
      </c>
      <c r="O20" s="28">
        <f t="shared" si="2"/>
        <v>20</v>
      </c>
      <c r="P20" s="28">
        <f t="shared" si="3"/>
        <v>0</v>
      </c>
      <c r="Q20" s="28">
        <f t="shared" si="4"/>
        <v>10</v>
      </c>
      <c r="R20" s="28">
        <f t="shared" si="5"/>
        <v>50</v>
      </c>
      <c r="S20" s="28">
        <f t="shared" si="6"/>
        <v>80</v>
      </c>
      <c r="T20" s="29">
        <f t="shared" si="7"/>
        <v>740</v>
      </c>
    </row>
    <row r="21" spans="1:20" ht="14.25" x14ac:dyDescent="0.25">
      <c r="A21" s="4" t="s">
        <v>41</v>
      </c>
      <c r="B21" t="s">
        <v>42</v>
      </c>
      <c r="C21" s="11">
        <v>100</v>
      </c>
      <c r="D21" s="10">
        <v>10</v>
      </c>
      <c r="E21" s="10">
        <v>2</v>
      </c>
      <c r="G21" s="10">
        <v>1</v>
      </c>
      <c r="H21" s="10">
        <v>5</v>
      </c>
      <c r="I21" s="10">
        <v>8</v>
      </c>
      <c r="J21" s="23">
        <f t="shared" si="0"/>
        <v>74</v>
      </c>
      <c r="L21" s="15">
        <v>10</v>
      </c>
      <c r="N21" s="27">
        <f t="shared" si="1"/>
        <v>100</v>
      </c>
      <c r="O21" s="28">
        <f t="shared" si="2"/>
        <v>20</v>
      </c>
      <c r="P21" s="28">
        <f t="shared" si="3"/>
        <v>0</v>
      </c>
      <c r="Q21" s="28">
        <f t="shared" si="4"/>
        <v>10</v>
      </c>
      <c r="R21" s="28">
        <f t="shared" si="5"/>
        <v>50</v>
      </c>
      <c r="S21" s="28">
        <f t="shared" si="6"/>
        <v>80</v>
      </c>
      <c r="T21" s="29">
        <f t="shared" si="7"/>
        <v>740</v>
      </c>
    </row>
    <row r="22" spans="1:20" ht="14.25" x14ac:dyDescent="0.25">
      <c r="A22" s="4" t="s">
        <v>43</v>
      </c>
      <c r="B22" t="s">
        <v>44</v>
      </c>
      <c r="C22" s="11">
        <v>100</v>
      </c>
      <c r="D22" s="10">
        <v>10</v>
      </c>
      <c r="E22" s="10">
        <v>2</v>
      </c>
      <c r="G22" s="10">
        <v>1</v>
      </c>
      <c r="H22" s="10">
        <v>5</v>
      </c>
      <c r="I22" s="10">
        <v>8</v>
      </c>
      <c r="J22" s="23">
        <f t="shared" si="0"/>
        <v>74</v>
      </c>
      <c r="L22" s="15">
        <v>9</v>
      </c>
      <c r="N22" s="27">
        <f t="shared" si="1"/>
        <v>90</v>
      </c>
      <c r="O22" s="28">
        <f t="shared" si="2"/>
        <v>18</v>
      </c>
      <c r="P22" s="28">
        <f t="shared" si="3"/>
        <v>0</v>
      </c>
      <c r="Q22" s="28">
        <f t="shared" si="4"/>
        <v>9</v>
      </c>
      <c r="R22" s="28">
        <f t="shared" si="5"/>
        <v>45</v>
      </c>
      <c r="S22" s="28">
        <f t="shared" si="6"/>
        <v>72</v>
      </c>
      <c r="T22" s="29">
        <f t="shared" si="7"/>
        <v>666</v>
      </c>
    </row>
    <row r="23" spans="1:20" ht="14.25" x14ac:dyDescent="0.25">
      <c r="A23" s="4" t="s">
        <v>45</v>
      </c>
      <c r="B23" t="s">
        <v>46</v>
      </c>
      <c r="C23" s="11">
        <v>100</v>
      </c>
      <c r="D23" s="10">
        <v>10</v>
      </c>
      <c r="E23" s="10">
        <v>2</v>
      </c>
      <c r="G23" s="10">
        <v>1</v>
      </c>
      <c r="H23" s="10">
        <v>5</v>
      </c>
      <c r="I23" s="10">
        <v>8</v>
      </c>
      <c r="J23" s="23">
        <f t="shared" si="0"/>
        <v>74</v>
      </c>
      <c r="L23" s="15">
        <v>9</v>
      </c>
      <c r="N23" s="27">
        <f t="shared" si="1"/>
        <v>90</v>
      </c>
      <c r="O23" s="28">
        <f t="shared" si="2"/>
        <v>18</v>
      </c>
      <c r="P23" s="28">
        <f t="shared" si="3"/>
        <v>0</v>
      </c>
      <c r="Q23" s="28">
        <f t="shared" si="4"/>
        <v>9</v>
      </c>
      <c r="R23" s="28">
        <f t="shared" si="5"/>
        <v>45</v>
      </c>
      <c r="S23" s="28">
        <f t="shared" si="6"/>
        <v>72</v>
      </c>
      <c r="T23" s="29">
        <f t="shared" si="7"/>
        <v>666</v>
      </c>
    </row>
    <row r="24" spans="1:20" ht="14.25" x14ac:dyDescent="0.25">
      <c r="A24" s="4" t="s">
        <v>47</v>
      </c>
      <c r="B24" t="s">
        <v>48</v>
      </c>
      <c r="C24" s="11">
        <v>100</v>
      </c>
      <c r="D24" s="10">
        <v>10</v>
      </c>
      <c r="E24" s="10">
        <v>2</v>
      </c>
      <c r="G24" s="10">
        <v>1</v>
      </c>
      <c r="H24" s="10">
        <v>5</v>
      </c>
      <c r="I24" s="10">
        <v>8</v>
      </c>
      <c r="J24" s="23">
        <f t="shared" si="0"/>
        <v>74</v>
      </c>
      <c r="L24" s="15">
        <v>9</v>
      </c>
      <c r="N24" s="27">
        <f t="shared" si="1"/>
        <v>90</v>
      </c>
      <c r="O24" s="28">
        <f t="shared" si="2"/>
        <v>18</v>
      </c>
      <c r="P24" s="28">
        <f t="shared" si="3"/>
        <v>0</v>
      </c>
      <c r="Q24" s="28">
        <f t="shared" si="4"/>
        <v>9</v>
      </c>
      <c r="R24" s="28">
        <f t="shared" si="5"/>
        <v>45</v>
      </c>
      <c r="S24" s="28">
        <f t="shared" si="6"/>
        <v>72</v>
      </c>
      <c r="T24" s="29">
        <f t="shared" si="7"/>
        <v>666</v>
      </c>
    </row>
    <row r="25" spans="1:20" ht="14.25" x14ac:dyDescent="0.25">
      <c r="A25" s="4" t="s">
        <v>49</v>
      </c>
      <c r="B25" t="s">
        <v>50</v>
      </c>
      <c r="C25" s="11">
        <v>50</v>
      </c>
      <c r="D25" s="10">
        <v>5</v>
      </c>
      <c r="E25" s="10">
        <v>2</v>
      </c>
      <c r="G25" s="10">
        <v>1</v>
      </c>
      <c r="H25" s="10">
        <v>5</v>
      </c>
      <c r="I25" s="10">
        <v>8</v>
      </c>
      <c r="J25" s="23">
        <f t="shared" si="0"/>
        <v>29</v>
      </c>
      <c r="L25" s="15">
        <v>9</v>
      </c>
      <c r="N25" s="27">
        <f t="shared" si="1"/>
        <v>45</v>
      </c>
      <c r="O25" s="28">
        <f t="shared" si="2"/>
        <v>18</v>
      </c>
      <c r="P25" s="28">
        <f t="shared" si="3"/>
        <v>0</v>
      </c>
      <c r="Q25" s="28">
        <f t="shared" si="4"/>
        <v>9</v>
      </c>
      <c r="R25" s="28">
        <f t="shared" si="5"/>
        <v>45</v>
      </c>
      <c r="S25" s="28">
        <f t="shared" si="6"/>
        <v>72</v>
      </c>
      <c r="T25" s="29">
        <f t="shared" si="7"/>
        <v>261</v>
      </c>
    </row>
    <row r="26" spans="1:20" ht="14.25" x14ac:dyDescent="0.25">
      <c r="A26" s="4" t="s">
        <v>51</v>
      </c>
      <c r="B26" t="s">
        <v>52</v>
      </c>
      <c r="C26" s="11">
        <v>20</v>
      </c>
      <c r="D26" s="10">
        <v>5</v>
      </c>
      <c r="E26" s="10">
        <v>2</v>
      </c>
      <c r="G26" s="10">
        <v>1</v>
      </c>
      <c r="H26" s="10">
        <v>5</v>
      </c>
      <c r="I26" s="10">
        <v>7</v>
      </c>
      <c r="J26" s="23">
        <f t="shared" si="0"/>
        <v>0</v>
      </c>
      <c r="L26" s="15">
        <v>10</v>
      </c>
      <c r="N26" s="27">
        <f t="shared" si="1"/>
        <v>50</v>
      </c>
      <c r="O26" s="28">
        <f t="shared" si="2"/>
        <v>20</v>
      </c>
      <c r="P26" s="28">
        <f t="shared" si="3"/>
        <v>0</v>
      </c>
      <c r="Q26" s="28">
        <f t="shared" si="4"/>
        <v>10</v>
      </c>
      <c r="R26" s="28">
        <f t="shared" si="5"/>
        <v>50</v>
      </c>
      <c r="S26" s="28">
        <f t="shared" si="6"/>
        <v>70</v>
      </c>
      <c r="T26" s="29">
        <f t="shared" si="7"/>
        <v>0</v>
      </c>
    </row>
    <row r="27" spans="1:20" ht="14.25" x14ac:dyDescent="0.25">
      <c r="A27" s="4" t="s">
        <v>53</v>
      </c>
      <c r="B27" t="s">
        <v>54</v>
      </c>
      <c r="C27" s="11">
        <v>50</v>
      </c>
      <c r="D27" s="10">
        <v>5</v>
      </c>
      <c r="E27" s="10">
        <v>2</v>
      </c>
      <c r="G27" s="10">
        <v>1</v>
      </c>
      <c r="H27" s="10">
        <v>5</v>
      </c>
      <c r="I27" s="10">
        <v>7</v>
      </c>
      <c r="J27" s="23">
        <f t="shared" si="0"/>
        <v>30</v>
      </c>
      <c r="L27" s="15">
        <v>10</v>
      </c>
      <c r="N27" s="27">
        <f t="shared" si="1"/>
        <v>50</v>
      </c>
      <c r="O27" s="28">
        <f t="shared" si="2"/>
        <v>20</v>
      </c>
      <c r="P27" s="28">
        <f t="shared" si="3"/>
        <v>0</v>
      </c>
      <c r="Q27" s="28">
        <f t="shared" si="4"/>
        <v>10</v>
      </c>
      <c r="R27" s="28">
        <f t="shared" si="5"/>
        <v>50</v>
      </c>
      <c r="S27" s="28">
        <f t="shared" si="6"/>
        <v>70</v>
      </c>
      <c r="T27" s="29">
        <f t="shared" si="7"/>
        <v>300</v>
      </c>
    </row>
    <row r="28" spans="1:20" ht="14.25" x14ac:dyDescent="0.25">
      <c r="A28" s="4" t="s">
        <v>55</v>
      </c>
      <c r="B28" t="s">
        <v>56</v>
      </c>
      <c r="C28" s="11">
        <v>50</v>
      </c>
      <c r="D28" s="10">
        <v>5</v>
      </c>
      <c r="E28" s="10">
        <v>2</v>
      </c>
      <c r="G28" s="10">
        <v>1</v>
      </c>
      <c r="H28" s="10">
        <v>5</v>
      </c>
      <c r="I28" s="10">
        <v>7</v>
      </c>
      <c r="J28" s="23">
        <f t="shared" si="0"/>
        <v>30</v>
      </c>
      <c r="L28" s="15">
        <v>10</v>
      </c>
      <c r="N28" s="27">
        <f t="shared" si="1"/>
        <v>50</v>
      </c>
      <c r="O28" s="28">
        <f t="shared" si="2"/>
        <v>20</v>
      </c>
      <c r="P28" s="28">
        <f t="shared" si="3"/>
        <v>0</v>
      </c>
      <c r="Q28" s="28">
        <f t="shared" si="4"/>
        <v>10</v>
      </c>
      <c r="R28" s="28">
        <f t="shared" si="5"/>
        <v>50</v>
      </c>
      <c r="S28" s="28">
        <f t="shared" si="6"/>
        <v>70</v>
      </c>
      <c r="T28" s="29">
        <f t="shared" si="7"/>
        <v>300</v>
      </c>
    </row>
    <row r="29" spans="1:20" ht="14.25" x14ac:dyDescent="0.25">
      <c r="A29" s="4" t="s">
        <v>57</v>
      </c>
      <c r="B29" t="s">
        <v>58</v>
      </c>
      <c r="C29" s="11">
        <v>20</v>
      </c>
      <c r="D29" s="10">
        <v>5</v>
      </c>
      <c r="E29" s="10">
        <v>2</v>
      </c>
      <c r="G29" s="10">
        <v>1</v>
      </c>
      <c r="H29" s="10">
        <v>5</v>
      </c>
      <c r="I29" s="10">
        <v>7</v>
      </c>
      <c r="J29" s="23">
        <f t="shared" si="0"/>
        <v>0</v>
      </c>
      <c r="L29" s="15">
        <v>10</v>
      </c>
      <c r="N29" s="27">
        <f t="shared" si="1"/>
        <v>50</v>
      </c>
      <c r="O29" s="28">
        <f t="shared" si="2"/>
        <v>20</v>
      </c>
      <c r="P29" s="28">
        <f t="shared" si="3"/>
        <v>0</v>
      </c>
      <c r="Q29" s="28">
        <f t="shared" si="4"/>
        <v>10</v>
      </c>
      <c r="R29" s="28">
        <f t="shared" si="5"/>
        <v>50</v>
      </c>
      <c r="S29" s="28">
        <f t="shared" si="6"/>
        <v>70</v>
      </c>
      <c r="T29" s="29">
        <f t="shared" si="7"/>
        <v>0</v>
      </c>
    </row>
    <row r="30" spans="1:20" x14ac:dyDescent="0.25">
      <c r="A30" s="4" t="s">
        <v>59</v>
      </c>
      <c r="B30" t="s">
        <v>60</v>
      </c>
      <c r="C30" s="11">
        <v>20</v>
      </c>
      <c r="D30" s="10">
        <v>5</v>
      </c>
      <c r="E30" s="10">
        <v>1</v>
      </c>
      <c r="G30" s="10">
        <v>1</v>
      </c>
      <c r="H30" s="10">
        <v>5</v>
      </c>
      <c r="I30" s="10">
        <v>8</v>
      </c>
      <c r="J30" s="23"/>
      <c r="L30" s="15">
        <v>10</v>
      </c>
      <c r="N30" s="27">
        <f t="shared" si="1"/>
        <v>50</v>
      </c>
      <c r="O30" s="28">
        <f t="shared" si="2"/>
        <v>10</v>
      </c>
      <c r="P30" s="28">
        <f t="shared" si="3"/>
        <v>0</v>
      </c>
      <c r="Q30" s="28">
        <f t="shared" si="4"/>
        <v>10</v>
      </c>
      <c r="R30" s="28">
        <f t="shared" si="5"/>
        <v>50</v>
      </c>
      <c r="S30" s="28">
        <f t="shared" si="6"/>
        <v>80</v>
      </c>
      <c r="T30" s="29">
        <f t="shared" si="7"/>
        <v>0</v>
      </c>
    </row>
    <row r="31" spans="1:20" x14ac:dyDescent="0.25">
      <c r="A31" s="4" t="s">
        <v>61</v>
      </c>
      <c r="B31" t="s">
        <v>62</v>
      </c>
      <c r="C31" s="11">
        <v>100</v>
      </c>
      <c r="D31" s="10">
        <v>10</v>
      </c>
      <c r="E31" s="10">
        <v>2</v>
      </c>
      <c r="G31" s="10">
        <v>1</v>
      </c>
      <c r="H31" s="10">
        <v>5</v>
      </c>
      <c r="I31" s="10">
        <v>6</v>
      </c>
      <c r="J31" s="23">
        <f>+C31-D31-H31-E31-F31-G31-I31</f>
        <v>76</v>
      </c>
      <c r="L31" s="15">
        <v>9</v>
      </c>
      <c r="N31" s="27">
        <f t="shared" si="1"/>
        <v>90</v>
      </c>
      <c r="O31" s="28">
        <f t="shared" si="2"/>
        <v>18</v>
      </c>
      <c r="P31" s="28">
        <f t="shared" si="3"/>
        <v>0</v>
      </c>
      <c r="Q31" s="28">
        <f t="shared" si="4"/>
        <v>9</v>
      </c>
      <c r="R31" s="28">
        <f t="shared" si="5"/>
        <v>45</v>
      </c>
      <c r="S31" s="28">
        <f t="shared" si="6"/>
        <v>54</v>
      </c>
      <c r="T31" s="29">
        <f t="shared" si="7"/>
        <v>684</v>
      </c>
    </row>
    <row r="32" spans="1:20" x14ac:dyDescent="0.25">
      <c r="A32" s="4" t="s">
        <v>63</v>
      </c>
      <c r="B32" t="s">
        <v>64</v>
      </c>
      <c r="C32" s="11">
        <v>100</v>
      </c>
      <c r="D32" s="10">
        <v>10</v>
      </c>
      <c r="E32" s="10">
        <v>2</v>
      </c>
      <c r="G32" s="10">
        <v>1</v>
      </c>
      <c r="H32" s="10">
        <v>5</v>
      </c>
      <c r="I32" s="10">
        <v>7</v>
      </c>
      <c r="J32" s="23">
        <f>+C32-D32-H32-E32-F32-G32-I32</f>
        <v>75</v>
      </c>
      <c r="L32" s="15">
        <v>9</v>
      </c>
      <c r="N32" s="27">
        <f t="shared" si="1"/>
        <v>90</v>
      </c>
      <c r="O32" s="28">
        <f t="shared" si="2"/>
        <v>18</v>
      </c>
      <c r="P32" s="28">
        <f t="shared" si="3"/>
        <v>0</v>
      </c>
      <c r="Q32" s="28">
        <f t="shared" si="4"/>
        <v>9</v>
      </c>
      <c r="R32" s="28">
        <f t="shared" si="5"/>
        <v>45</v>
      </c>
      <c r="S32" s="28">
        <f t="shared" si="6"/>
        <v>63</v>
      </c>
      <c r="T32" s="29">
        <f t="shared" si="7"/>
        <v>675</v>
      </c>
    </row>
    <row r="33" spans="1:20" x14ac:dyDescent="0.25">
      <c r="A33" s="4" t="s">
        <v>65</v>
      </c>
      <c r="B33" t="s">
        <v>62</v>
      </c>
      <c r="C33" s="11">
        <v>100</v>
      </c>
      <c r="D33" s="10">
        <v>10</v>
      </c>
      <c r="E33" s="10">
        <v>2</v>
      </c>
      <c r="G33" s="10">
        <v>1</v>
      </c>
      <c r="H33" s="10">
        <v>5</v>
      </c>
      <c r="I33" s="10">
        <v>7</v>
      </c>
      <c r="J33" s="23">
        <f>+C33-D33-H33-E33-F33-G33-I33</f>
        <v>75</v>
      </c>
      <c r="L33" s="15">
        <v>10</v>
      </c>
      <c r="N33" s="27">
        <f t="shared" si="1"/>
        <v>100</v>
      </c>
      <c r="O33" s="28">
        <f t="shared" si="2"/>
        <v>20</v>
      </c>
      <c r="P33" s="28">
        <f t="shared" si="3"/>
        <v>0</v>
      </c>
      <c r="Q33" s="28">
        <f t="shared" si="4"/>
        <v>10</v>
      </c>
      <c r="R33" s="28">
        <f t="shared" si="5"/>
        <v>50</v>
      </c>
      <c r="S33" s="28">
        <f t="shared" si="6"/>
        <v>70</v>
      </c>
      <c r="T33" s="29">
        <f t="shared" si="7"/>
        <v>750</v>
      </c>
    </row>
    <row r="34" spans="1:20" x14ac:dyDescent="0.25">
      <c r="A34" s="4" t="s">
        <v>66</v>
      </c>
      <c r="B34" t="s">
        <v>67</v>
      </c>
      <c r="C34" s="11">
        <v>20</v>
      </c>
      <c r="D34" s="10">
        <v>5</v>
      </c>
      <c r="E34" s="10">
        <v>2</v>
      </c>
      <c r="G34" s="10">
        <v>1</v>
      </c>
      <c r="H34" s="10">
        <v>5</v>
      </c>
      <c r="I34" s="10">
        <v>7</v>
      </c>
      <c r="J34" s="23"/>
      <c r="L34" s="15">
        <v>10</v>
      </c>
      <c r="N34" s="27">
        <f t="shared" si="1"/>
        <v>50</v>
      </c>
      <c r="O34" s="28">
        <f t="shared" si="2"/>
        <v>20</v>
      </c>
      <c r="P34" s="28">
        <f t="shared" si="3"/>
        <v>0</v>
      </c>
      <c r="Q34" s="28">
        <f t="shared" si="4"/>
        <v>10</v>
      </c>
      <c r="R34" s="28">
        <f t="shared" si="5"/>
        <v>50</v>
      </c>
      <c r="S34" s="28">
        <f t="shared" si="6"/>
        <v>70</v>
      </c>
      <c r="T34" s="29">
        <f t="shared" si="7"/>
        <v>0</v>
      </c>
    </row>
    <row r="35" spans="1:20" x14ac:dyDescent="0.25">
      <c r="A35" s="4" t="s">
        <v>68</v>
      </c>
      <c r="B35" t="s">
        <v>69</v>
      </c>
      <c r="C35" s="11">
        <v>50</v>
      </c>
      <c r="D35" s="10">
        <v>10</v>
      </c>
      <c r="E35" s="10">
        <v>2</v>
      </c>
      <c r="H35" s="10">
        <v>5</v>
      </c>
      <c r="I35" s="10">
        <v>7</v>
      </c>
      <c r="J35" s="23">
        <f>+C35-D35-H35-E35-F35-G35-I35</f>
        <v>26</v>
      </c>
      <c r="L35" s="15">
        <v>10</v>
      </c>
      <c r="N35" s="27">
        <f t="shared" si="1"/>
        <v>100</v>
      </c>
      <c r="O35" s="28">
        <f t="shared" si="2"/>
        <v>20</v>
      </c>
      <c r="P35" s="28">
        <f t="shared" si="3"/>
        <v>0</v>
      </c>
      <c r="Q35" s="28">
        <f t="shared" si="4"/>
        <v>0</v>
      </c>
      <c r="R35" s="28">
        <f t="shared" si="5"/>
        <v>50</v>
      </c>
      <c r="S35" s="28">
        <f t="shared" si="6"/>
        <v>70</v>
      </c>
      <c r="T35" s="29">
        <f t="shared" si="7"/>
        <v>260</v>
      </c>
    </row>
    <row r="36" spans="1:20" x14ac:dyDescent="0.25">
      <c r="A36" s="4" t="s">
        <v>70</v>
      </c>
      <c r="B36" t="s">
        <v>71</v>
      </c>
      <c r="C36" s="11">
        <v>20</v>
      </c>
      <c r="D36" s="10">
        <v>5</v>
      </c>
      <c r="E36" s="10">
        <v>2</v>
      </c>
      <c r="G36" s="10">
        <v>1</v>
      </c>
      <c r="H36" s="10">
        <v>5</v>
      </c>
      <c r="I36" s="10">
        <v>7</v>
      </c>
      <c r="J36" s="23"/>
      <c r="L36" s="15">
        <v>10</v>
      </c>
      <c r="N36" s="27">
        <f t="shared" si="1"/>
        <v>50</v>
      </c>
      <c r="O36" s="28">
        <f t="shared" si="2"/>
        <v>20</v>
      </c>
      <c r="P36" s="28">
        <f t="shared" si="3"/>
        <v>0</v>
      </c>
      <c r="Q36" s="28">
        <f t="shared" si="4"/>
        <v>10</v>
      </c>
      <c r="R36" s="28">
        <f t="shared" si="5"/>
        <v>50</v>
      </c>
      <c r="S36" s="28">
        <f t="shared" si="6"/>
        <v>70</v>
      </c>
      <c r="T36" s="29">
        <f t="shared" si="7"/>
        <v>0</v>
      </c>
    </row>
    <row r="37" spans="1:20" x14ac:dyDescent="0.25">
      <c r="A37" s="4" t="s">
        <v>72</v>
      </c>
      <c r="B37" t="s">
        <v>73</v>
      </c>
      <c r="C37" s="11">
        <v>20</v>
      </c>
      <c r="D37" s="10">
        <v>5</v>
      </c>
      <c r="E37" s="10">
        <v>2</v>
      </c>
      <c r="G37" s="10">
        <v>1</v>
      </c>
      <c r="H37" s="10">
        <v>5</v>
      </c>
      <c r="I37" s="10">
        <v>7</v>
      </c>
      <c r="J37" s="23"/>
      <c r="L37" s="15">
        <v>10</v>
      </c>
      <c r="N37" s="27">
        <f t="shared" si="1"/>
        <v>50</v>
      </c>
      <c r="O37" s="28">
        <f t="shared" si="2"/>
        <v>20</v>
      </c>
      <c r="P37" s="28">
        <f t="shared" si="3"/>
        <v>0</v>
      </c>
      <c r="Q37" s="28">
        <f t="shared" si="4"/>
        <v>10</v>
      </c>
      <c r="R37" s="28">
        <f t="shared" si="5"/>
        <v>50</v>
      </c>
      <c r="S37" s="28">
        <f t="shared" si="6"/>
        <v>70</v>
      </c>
      <c r="T37" s="29">
        <f t="shared" si="7"/>
        <v>0</v>
      </c>
    </row>
    <row r="38" spans="1:20" x14ac:dyDescent="0.25">
      <c r="A38" s="4" t="s">
        <v>74</v>
      </c>
      <c r="B38" t="s">
        <v>75</v>
      </c>
      <c r="C38" s="11">
        <v>20</v>
      </c>
      <c r="D38" s="10">
        <v>6</v>
      </c>
      <c r="E38" s="10">
        <v>2</v>
      </c>
      <c r="H38" s="10">
        <v>5</v>
      </c>
      <c r="I38" s="10">
        <v>7</v>
      </c>
      <c r="J38" s="23"/>
      <c r="L38" s="15">
        <v>10</v>
      </c>
      <c r="N38" s="27">
        <f t="shared" si="1"/>
        <v>60</v>
      </c>
      <c r="O38" s="28">
        <f t="shared" si="2"/>
        <v>20</v>
      </c>
      <c r="P38" s="28">
        <f t="shared" si="3"/>
        <v>0</v>
      </c>
      <c r="Q38" s="28">
        <f t="shared" si="4"/>
        <v>0</v>
      </c>
      <c r="R38" s="28">
        <f t="shared" si="5"/>
        <v>50</v>
      </c>
      <c r="S38" s="28">
        <f t="shared" si="6"/>
        <v>70</v>
      </c>
      <c r="T38" s="29">
        <f t="shared" si="7"/>
        <v>0</v>
      </c>
    </row>
    <row r="39" spans="1:20" x14ac:dyDescent="0.25">
      <c r="A39" s="4" t="s">
        <v>76</v>
      </c>
      <c r="B39" t="s">
        <v>77</v>
      </c>
      <c r="C39" s="11">
        <v>50</v>
      </c>
      <c r="D39" s="10">
        <v>10</v>
      </c>
      <c r="E39" s="10">
        <v>2</v>
      </c>
      <c r="H39" s="10">
        <v>5</v>
      </c>
      <c r="I39" s="10">
        <v>7</v>
      </c>
      <c r="J39" s="23">
        <f t="shared" ref="J39:J52" si="8">+C39-D39-H39-E39-F39-G39-I39</f>
        <v>26</v>
      </c>
      <c r="L39" s="15">
        <v>10</v>
      </c>
      <c r="N39" s="27">
        <f t="shared" si="1"/>
        <v>100</v>
      </c>
      <c r="O39" s="28">
        <f t="shared" si="2"/>
        <v>20</v>
      </c>
      <c r="P39" s="28">
        <f t="shared" si="3"/>
        <v>0</v>
      </c>
      <c r="Q39" s="28">
        <f t="shared" si="4"/>
        <v>0</v>
      </c>
      <c r="R39" s="28">
        <f t="shared" si="5"/>
        <v>50</v>
      </c>
      <c r="S39" s="28">
        <f t="shared" si="6"/>
        <v>70</v>
      </c>
      <c r="T39" s="29">
        <f t="shared" si="7"/>
        <v>260</v>
      </c>
    </row>
    <row r="40" spans="1:20" x14ac:dyDescent="0.25">
      <c r="A40" s="4" t="s">
        <v>78</v>
      </c>
      <c r="B40" t="s">
        <v>77</v>
      </c>
      <c r="C40" s="11">
        <v>50</v>
      </c>
      <c r="D40" s="10">
        <v>10</v>
      </c>
      <c r="E40" s="10">
        <v>2</v>
      </c>
      <c r="H40" s="10">
        <v>5</v>
      </c>
      <c r="I40" s="10">
        <v>7</v>
      </c>
      <c r="J40" s="23">
        <f t="shared" si="8"/>
        <v>26</v>
      </c>
      <c r="L40" s="15">
        <v>10</v>
      </c>
      <c r="N40" s="27">
        <f t="shared" si="1"/>
        <v>100</v>
      </c>
      <c r="O40" s="28">
        <f t="shared" si="2"/>
        <v>20</v>
      </c>
      <c r="P40" s="28">
        <f t="shared" si="3"/>
        <v>0</v>
      </c>
      <c r="Q40" s="28">
        <f t="shared" si="4"/>
        <v>0</v>
      </c>
      <c r="R40" s="28">
        <f t="shared" si="5"/>
        <v>50</v>
      </c>
      <c r="S40" s="28">
        <f t="shared" si="6"/>
        <v>70</v>
      </c>
      <c r="T40" s="29">
        <f t="shared" si="7"/>
        <v>260</v>
      </c>
    </row>
    <row r="41" spans="1:20" x14ac:dyDescent="0.25">
      <c r="A41" s="4" t="s">
        <v>79</v>
      </c>
      <c r="B41" t="s">
        <v>80</v>
      </c>
      <c r="C41" s="11">
        <v>50</v>
      </c>
      <c r="D41" s="10">
        <v>10</v>
      </c>
      <c r="E41" s="10">
        <v>2</v>
      </c>
      <c r="H41" s="10">
        <v>5</v>
      </c>
      <c r="I41" s="10">
        <v>7</v>
      </c>
      <c r="J41" s="23">
        <f t="shared" si="8"/>
        <v>26</v>
      </c>
      <c r="L41" s="15">
        <v>10</v>
      </c>
      <c r="N41" s="27">
        <f t="shared" si="1"/>
        <v>100</v>
      </c>
      <c r="O41" s="28">
        <f t="shared" si="2"/>
        <v>20</v>
      </c>
      <c r="P41" s="28">
        <f t="shared" si="3"/>
        <v>0</v>
      </c>
      <c r="Q41" s="28">
        <f t="shared" si="4"/>
        <v>0</v>
      </c>
      <c r="R41" s="28">
        <f t="shared" si="5"/>
        <v>50</v>
      </c>
      <c r="S41" s="28">
        <f t="shared" si="6"/>
        <v>70</v>
      </c>
      <c r="T41" s="29">
        <f t="shared" si="7"/>
        <v>260</v>
      </c>
    </row>
    <row r="42" spans="1:20" x14ac:dyDescent="0.25">
      <c r="A42" s="14" t="s">
        <v>81</v>
      </c>
      <c r="B42" s="24" t="s">
        <v>82</v>
      </c>
      <c r="C42" s="11">
        <v>100</v>
      </c>
      <c r="D42" s="10">
        <v>10</v>
      </c>
      <c r="E42" s="10">
        <v>2</v>
      </c>
      <c r="H42" s="10">
        <v>5</v>
      </c>
      <c r="I42" s="10">
        <v>7</v>
      </c>
      <c r="J42" s="23">
        <f t="shared" si="8"/>
        <v>76</v>
      </c>
      <c r="L42" s="15">
        <v>10</v>
      </c>
      <c r="N42" s="27">
        <f t="shared" si="1"/>
        <v>100</v>
      </c>
      <c r="O42" s="28">
        <f t="shared" si="2"/>
        <v>20</v>
      </c>
      <c r="P42" s="28">
        <f t="shared" si="3"/>
        <v>0</v>
      </c>
      <c r="Q42" s="28">
        <f t="shared" si="4"/>
        <v>0</v>
      </c>
      <c r="R42" s="28">
        <f t="shared" si="5"/>
        <v>50</v>
      </c>
      <c r="S42" s="28">
        <f t="shared" si="6"/>
        <v>70</v>
      </c>
      <c r="T42" s="29">
        <f t="shared" si="7"/>
        <v>760</v>
      </c>
    </row>
    <row r="43" spans="1:20" x14ac:dyDescent="0.25">
      <c r="A43" s="14" t="s">
        <v>83</v>
      </c>
      <c r="B43" s="24" t="s">
        <v>84</v>
      </c>
      <c r="C43" s="11">
        <v>50</v>
      </c>
      <c r="D43" s="10">
        <v>10</v>
      </c>
      <c r="E43" s="10">
        <v>2</v>
      </c>
      <c r="H43" s="10">
        <v>5</v>
      </c>
      <c r="I43" s="10">
        <v>7</v>
      </c>
      <c r="J43" s="23">
        <f t="shared" si="8"/>
        <v>26</v>
      </c>
      <c r="L43" s="15">
        <v>10</v>
      </c>
      <c r="N43" s="27">
        <f t="shared" si="1"/>
        <v>100</v>
      </c>
      <c r="O43" s="28">
        <f t="shared" si="2"/>
        <v>20</v>
      </c>
      <c r="P43" s="28">
        <f t="shared" si="3"/>
        <v>0</v>
      </c>
      <c r="Q43" s="28">
        <f t="shared" si="4"/>
        <v>0</v>
      </c>
      <c r="R43" s="28">
        <f t="shared" si="5"/>
        <v>50</v>
      </c>
      <c r="S43" s="28">
        <f t="shared" si="6"/>
        <v>70</v>
      </c>
      <c r="T43" s="29">
        <f t="shared" si="7"/>
        <v>260</v>
      </c>
    </row>
    <row r="44" spans="1:20" x14ac:dyDescent="0.25">
      <c r="A44" s="14" t="s">
        <v>85</v>
      </c>
      <c r="B44" s="24" t="s">
        <v>84</v>
      </c>
      <c r="C44" s="11">
        <v>50</v>
      </c>
      <c r="D44" s="10">
        <v>10</v>
      </c>
      <c r="E44" s="10">
        <v>2</v>
      </c>
      <c r="H44" s="10">
        <v>5</v>
      </c>
      <c r="I44" s="10">
        <v>7</v>
      </c>
      <c r="J44" s="23">
        <f t="shared" si="8"/>
        <v>26</v>
      </c>
      <c r="L44" s="15">
        <v>10</v>
      </c>
      <c r="N44" s="27">
        <f t="shared" si="1"/>
        <v>100</v>
      </c>
      <c r="O44" s="28">
        <f t="shared" si="2"/>
        <v>20</v>
      </c>
      <c r="P44" s="28">
        <f t="shared" si="3"/>
        <v>0</v>
      </c>
      <c r="Q44" s="28">
        <f t="shared" si="4"/>
        <v>0</v>
      </c>
      <c r="R44" s="28">
        <f t="shared" si="5"/>
        <v>50</v>
      </c>
      <c r="S44" s="28">
        <f t="shared" si="6"/>
        <v>70</v>
      </c>
      <c r="T44" s="29">
        <f t="shared" si="7"/>
        <v>260</v>
      </c>
    </row>
    <row r="45" spans="1:20" x14ac:dyDescent="0.25">
      <c r="A45" s="4" t="s">
        <v>86</v>
      </c>
      <c r="B45" t="s">
        <v>87</v>
      </c>
      <c r="C45" s="11">
        <v>50</v>
      </c>
      <c r="D45" s="10">
        <v>10</v>
      </c>
      <c r="E45" s="10">
        <v>2</v>
      </c>
      <c r="H45" s="10">
        <v>5</v>
      </c>
      <c r="I45" s="10">
        <v>7</v>
      </c>
      <c r="J45" s="23">
        <f t="shared" si="8"/>
        <v>26</v>
      </c>
      <c r="L45" s="15">
        <v>10</v>
      </c>
      <c r="N45" s="27">
        <f t="shared" si="1"/>
        <v>100</v>
      </c>
      <c r="O45" s="28">
        <f t="shared" si="2"/>
        <v>20</v>
      </c>
      <c r="P45" s="28">
        <f t="shared" si="3"/>
        <v>0</v>
      </c>
      <c r="Q45" s="28">
        <f t="shared" si="4"/>
        <v>0</v>
      </c>
      <c r="R45" s="28">
        <f t="shared" si="5"/>
        <v>50</v>
      </c>
      <c r="S45" s="28">
        <f t="shared" si="6"/>
        <v>70</v>
      </c>
      <c r="T45" s="29">
        <f t="shared" si="7"/>
        <v>260</v>
      </c>
    </row>
    <row r="46" spans="1:20" x14ac:dyDescent="0.25">
      <c r="A46" s="4" t="s">
        <v>88</v>
      </c>
      <c r="B46" t="s">
        <v>89</v>
      </c>
      <c r="C46" s="11">
        <v>30</v>
      </c>
      <c r="D46" s="10">
        <v>10</v>
      </c>
      <c r="E46" s="10">
        <v>2</v>
      </c>
      <c r="H46" s="10">
        <v>5</v>
      </c>
      <c r="I46" s="10">
        <v>7</v>
      </c>
      <c r="J46" s="23">
        <f t="shared" si="8"/>
        <v>6</v>
      </c>
      <c r="L46" s="15">
        <v>10</v>
      </c>
      <c r="N46" s="27">
        <f t="shared" si="1"/>
        <v>100</v>
      </c>
      <c r="O46" s="28">
        <f t="shared" si="2"/>
        <v>20</v>
      </c>
      <c r="P46" s="28">
        <f t="shared" si="3"/>
        <v>0</v>
      </c>
      <c r="Q46" s="28">
        <f t="shared" si="4"/>
        <v>0</v>
      </c>
      <c r="R46" s="28">
        <f t="shared" si="5"/>
        <v>50</v>
      </c>
      <c r="S46" s="28">
        <f t="shared" si="6"/>
        <v>70</v>
      </c>
      <c r="T46" s="29">
        <f t="shared" si="7"/>
        <v>60</v>
      </c>
    </row>
    <row r="47" spans="1:20" x14ac:dyDescent="0.25">
      <c r="A47" s="4" t="s">
        <v>90</v>
      </c>
      <c r="B47" t="s">
        <v>91</v>
      </c>
      <c r="C47" s="11">
        <v>30</v>
      </c>
      <c r="D47" s="10">
        <v>1</v>
      </c>
      <c r="E47" s="10">
        <v>2</v>
      </c>
      <c r="H47" s="10">
        <v>5</v>
      </c>
      <c r="I47" s="10">
        <v>7</v>
      </c>
      <c r="J47" s="23">
        <f t="shared" si="8"/>
        <v>15</v>
      </c>
      <c r="L47" s="15">
        <v>10</v>
      </c>
      <c r="N47" s="27">
        <f t="shared" si="1"/>
        <v>10</v>
      </c>
      <c r="O47" s="28">
        <f t="shared" si="2"/>
        <v>20</v>
      </c>
      <c r="P47" s="28">
        <f t="shared" si="3"/>
        <v>0</v>
      </c>
      <c r="Q47" s="28">
        <f t="shared" si="4"/>
        <v>0</v>
      </c>
      <c r="R47" s="28">
        <f t="shared" si="5"/>
        <v>50</v>
      </c>
      <c r="S47" s="28">
        <f t="shared" si="6"/>
        <v>70</v>
      </c>
      <c r="T47" s="29">
        <f t="shared" si="7"/>
        <v>150</v>
      </c>
    </row>
    <row r="48" spans="1:20" x14ac:dyDescent="0.25">
      <c r="A48" s="4" t="s">
        <v>92</v>
      </c>
      <c r="B48" t="s">
        <v>93</v>
      </c>
      <c r="C48" s="11">
        <v>30</v>
      </c>
      <c r="D48" s="10">
        <v>10</v>
      </c>
      <c r="E48" s="10">
        <v>2</v>
      </c>
      <c r="H48" s="10">
        <v>5</v>
      </c>
      <c r="I48" s="10">
        <v>7</v>
      </c>
      <c r="J48" s="23">
        <f t="shared" si="8"/>
        <v>6</v>
      </c>
      <c r="L48" s="15">
        <v>10</v>
      </c>
      <c r="N48" s="27">
        <f t="shared" si="1"/>
        <v>100</v>
      </c>
      <c r="O48" s="28">
        <f t="shared" si="2"/>
        <v>20</v>
      </c>
      <c r="P48" s="28">
        <f t="shared" si="3"/>
        <v>0</v>
      </c>
      <c r="Q48" s="28">
        <f t="shared" si="4"/>
        <v>0</v>
      </c>
      <c r="R48" s="28">
        <f t="shared" si="5"/>
        <v>50</v>
      </c>
      <c r="S48" s="28">
        <f t="shared" si="6"/>
        <v>70</v>
      </c>
      <c r="T48" s="29">
        <f t="shared" si="7"/>
        <v>60</v>
      </c>
    </row>
    <row r="49" spans="1:20" x14ac:dyDescent="0.25">
      <c r="A49" s="4" t="s">
        <v>94</v>
      </c>
      <c r="B49" t="s">
        <v>95</v>
      </c>
      <c r="C49" s="11">
        <v>30</v>
      </c>
      <c r="D49" s="10">
        <v>10</v>
      </c>
      <c r="E49" s="10">
        <v>2</v>
      </c>
      <c r="H49" s="10">
        <v>5</v>
      </c>
      <c r="I49" s="10">
        <v>5</v>
      </c>
      <c r="J49" s="23">
        <f t="shared" si="8"/>
        <v>8</v>
      </c>
      <c r="L49" s="15">
        <v>10</v>
      </c>
      <c r="N49" s="27">
        <f t="shared" si="1"/>
        <v>100</v>
      </c>
      <c r="O49" s="28">
        <f t="shared" si="2"/>
        <v>20</v>
      </c>
      <c r="P49" s="28">
        <f t="shared" si="3"/>
        <v>0</v>
      </c>
      <c r="Q49" s="28">
        <f>+L49*G49</f>
        <v>0</v>
      </c>
      <c r="R49" s="28">
        <f>+L49*H49</f>
        <v>50</v>
      </c>
      <c r="S49" s="28">
        <f>+L49*I49</f>
        <v>50</v>
      </c>
      <c r="T49" s="29">
        <f>+J49*L49</f>
        <v>80</v>
      </c>
    </row>
    <row r="50" spans="1:20" x14ac:dyDescent="0.25">
      <c r="A50" s="4" t="s">
        <v>96</v>
      </c>
      <c r="B50" t="s">
        <v>97</v>
      </c>
      <c r="C50" s="11">
        <v>20</v>
      </c>
      <c r="D50" s="10">
        <v>10</v>
      </c>
      <c r="E50" s="10">
        <v>2</v>
      </c>
      <c r="H50" s="10">
        <v>3</v>
      </c>
      <c r="I50" s="10">
        <v>5</v>
      </c>
      <c r="J50" s="23">
        <f t="shared" si="8"/>
        <v>0</v>
      </c>
      <c r="L50" s="15">
        <v>10</v>
      </c>
      <c r="N50" s="27">
        <f t="shared" si="1"/>
        <v>100</v>
      </c>
      <c r="O50" s="28">
        <f t="shared" si="2"/>
        <v>20</v>
      </c>
      <c r="P50" s="28">
        <f t="shared" si="3"/>
        <v>0</v>
      </c>
      <c r="Q50" s="28">
        <f t="shared" si="4"/>
        <v>0</v>
      </c>
      <c r="R50" s="28">
        <f t="shared" si="5"/>
        <v>30</v>
      </c>
      <c r="S50" s="28">
        <f t="shared" si="6"/>
        <v>50</v>
      </c>
      <c r="T50" s="29">
        <f t="shared" si="7"/>
        <v>0</v>
      </c>
    </row>
    <row r="51" spans="1:20" x14ac:dyDescent="0.25">
      <c r="A51" s="4" t="s">
        <v>98</v>
      </c>
      <c r="B51" t="s">
        <v>99</v>
      </c>
      <c r="C51" s="11">
        <v>50</v>
      </c>
      <c r="D51" s="10">
        <v>10</v>
      </c>
      <c r="E51" s="10">
        <v>2</v>
      </c>
      <c r="H51" s="10">
        <v>3</v>
      </c>
      <c r="I51" s="10">
        <v>5</v>
      </c>
      <c r="J51" s="23">
        <f t="shared" si="8"/>
        <v>30</v>
      </c>
      <c r="L51" s="15">
        <v>10</v>
      </c>
      <c r="N51" s="27">
        <f>+L51*D51</f>
        <v>100</v>
      </c>
      <c r="O51" s="28">
        <f>+L51*E51</f>
        <v>20</v>
      </c>
      <c r="P51" s="28">
        <f>+L51*F51</f>
        <v>0</v>
      </c>
      <c r="Q51" s="28">
        <f t="shared" si="4"/>
        <v>0</v>
      </c>
      <c r="R51" s="28">
        <f t="shared" si="5"/>
        <v>30</v>
      </c>
      <c r="S51" s="28">
        <f t="shared" si="6"/>
        <v>50</v>
      </c>
      <c r="T51" s="29">
        <f t="shared" si="7"/>
        <v>300</v>
      </c>
    </row>
    <row r="52" spans="1:20" ht="15.75" thickBot="1" x14ac:dyDescent="0.3">
      <c r="A52" s="5" t="s">
        <v>100</v>
      </c>
      <c r="B52" s="6" t="s">
        <v>101</v>
      </c>
      <c r="C52" s="12">
        <v>20</v>
      </c>
      <c r="D52" s="13">
        <v>10</v>
      </c>
      <c r="E52" s="13">
        <v>2</v>
      </c>
      <c r="F52" s="13"/>
      <c r="G52" s="13"/>
      <c r="H52" s="13">
        <v>3</v>
      </c>
      <c r="I52" s="13"/>
      <c r="J52" s="25">
        <f t="shared" si="8"/>
        <v>5</v>
      </c>
      <c r="L52" s="15">
        <v>10</v>
      </c>
      <c r="N52" s="27">
        <f t="shared" si="1"/>
        <v>100</v>
      </c>
      <c r="O52" s="28">
        <f t="shared" si="2"/>
        <v>20</v>
      </c>
      <c r="P52" s="28">
        <f t="shared" si="3"/>
        <v>0</v>
      </c>
      <c r="Q52" s="28">
        <f t="shared" si="4"/>
        <v>0</v>
      </c>
      <c r="R52" s="28">
        <f t="shared" si="5"/>
        <v>30</v>
      </c>
      <c r="S52" s="28">
        <f t="shared" si="6"/>
        <v>0</v>
      </c>
      <c r="T52" s="29">
        <f t="shared" si="7"/>
        <v>50</v>
      </c>
    </row>
    <row r="53" spans="1:20" ht="15.75" thickBot="1" x14ac:dyDescent="0.3">
      <c r="L53" s="17"/>
      <c r="N53" s="18">
        <f t="shared" ref="N53:T53" si="9">SUM(N2:N52)</f>
        <v>6545</v>
      </c>
      <c r="O53" s="19">
        <f t="shared" si="9"/>
        <v>1524</v>
      </c>
      <c r="P53" s="19">
        <f t="shared" si="9"/>
        <v>234</v>
      </c>
      <c r="Q53" s="20">
        <f t="shared" si="9"/>
        <v>1926</v>
      </c>
      <c r="R53" s="30">
        <f t="shared" si="9"/>
        <v>4937</v>
      </c>
      <c r="S53" s="31">
        <f t="shared" si="9"/>
        <v>5563</v>
      </c>
      <c r="T53" s="20">
        <f t="shared" si="9"/>
        <v>38611</v>
      </c>
    </row>
    <row r="54" spans="1:20" ht="15.75" thickBot="1" x14ac:dyDescent="0.3">
      <c r="N54" s="21" t="s">
        <v>102</v>
      </c>
      <c r="O54" s="22" t="s">
        <v>104</v>
      </c>
      <c r="P54" s="22" t="s">
        <v>105</v>
      </c>
      <c r="Q54" s="22" t="s">
        <v>106</v>
      </c>
      <c r="R54" s="32" t="s">
        <v>103</v>
      </c>
      <c r="S54" s="32" t="s">
        <v>103</v>
      </c>
      <c r="T54" s="22" t="s">
        <v>103</v>
      </c>
    </row>
    <row r="56" spans="1:20" x14ac:dyDescent="0.25">
      <c r="S56" s="16">
        <f>+R53+S53</f>
        <v>10500</v>
      </c>
      <c r="T56" s="16"/>
    </row>
    <row r="58" spans="1:20" x14ac:dyDescent="0.25">
      <c r="S58" s="17"/>
      <c r="T58" s="1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85C3-3730-4604-919C-D2EBBC232173}">
  <dimension ref="A1:C53"/>
  <sheetViews>
    <sheetView workbookViewId="0">
      <selection activeCell="H17" sqref="H17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x14ac:dyDescent="0.25">
      <c r="A1" s="34" t="s">
        <v>0</v>
      </c>
      <c r="B1" s="2" t="s">
        <v>103</v>
      </c>
      <c r="C1" s="33" t="s">
        <v>108</v>
      </c>
    </row>
    <row r="2" spans="1:3" x14ac:dyDescent="0.25">
      <c r="A2" s="35" t="s">
        <v>3</v>
      </c>
      <c r="B2" s="10">
        <v>5</v>
      </c>
      <c r="C2" s="15">
        <v>22</v>
      </c>
    </row>
    <row r="3" spans="1:3" x14ac:dyDescent="0.25">
      <c r="A3" s="35" t="s">
        <v>5</v>
      </c>
      <c r="B3" s="10">
        <v>6</v>
      </c>
      <c r="C3" s="15">
        <v>22</v>
      </c>
    </row>
    <row r="4" spans="1:3" x14ac:dyDescent="0.25">
      <c r="A4" s="35" t="s">
        <v>7</v>
      </c>
      <c r="B4" s="10">
        <v>6</v>
      </c>
      <c r="C4" s="15">
        <v>22</v>
      </c>
    </row>
    <row r="5" spans="1:3" x14ac:dyDescent="0.25">
      <c r="A5" s="35" t="s">
        <v>9</v>
      </c>
      <c r="B5" s="10">
        <v>10</v>
      </c>
      <c r="C5" s="15">
        <v>22</v>
      </c>
    </row>
    <row r="6" spans="1:3" x14ac:dyDescent="0.25">
      <c r="A6" s="35" t="s">
        <v>11</v>
      </c>
      <c r="B6" s="10">
        <v>10</v>
      </c>
      <c r="C6" s="15">
        <v>22</v>
      </c>
    </row>
    <row r="7" spans="1:3" x14ac:dyDescent="0.25">
      <c r="A7" s="35" t="s">
        <v>13</v>
      </c>
      <c r="B7" s="10">
        <v>10</v>
      </c>
      <c r="C7" s="15">
        <v>31</v>
      </c>
    </row>
    <row r="8" spans="1:3" x14ac:dyDescent="0.25">
      <c r="A8" s="35" t="s">
        <v>15</v>
      </c>
      <c r="B8" s="10">
        <v>3</v>
      </c>
      <c r="C8" s="15">
        <v>31</v>
      </c>
    </row>
    <row r="9" spans="1:3" x14ac:dyDescent="0.25">
      <c r="A9" s="35" t="s">
        <v>17</v>
      </c>
      <c r="B9" s="10">
        <v>3</v>
      </c>
      <c r="C9" s="15">
        <v>31</v>
      </c>
    </row>
    <row r="10" spans="1:3" x14ac:dyDescent="0.25">
      <c r="A10" s="35" t="s">
        <v>19</v>
      </c>
      <c r="B10" s="10">
        <v>10</v>
      </c>
      <c r="C10" s="15">
        <v>21</v>
      </c>
    </row>
    <row r="11" spans="1:3" x14ac:dyDescent="0.25">
      <c r="A11" s="35" t="s">
        <v>21</v>
      </c>
      <c r="B11" s="10">
        <v>10</v>
      </c>
      <c r="C11" s="15">
        <v>21</v>
      </c>
    </row>
    <row r="12" spans="1:3" x14ac:dyDescent="0.25">
      <c r="A12" s="35" t="s">
        <v>23</v>
      </c>
      <c r="B12" s="10">
        <v>10</v>
      </c>
      <c r="C12" s="15">
        <v>24</v>
      </c>
    </row>
    <row r="13" spans="1:3" x14ac:dyDescent="0.25">
      <c r="A13" s="35" t="s">
        <v>25</v>
      </c>
      <c r="B13" s="10">
        <v>10</v>
      </c>
      <c r="C13" s="15">
        <v>24</v>
      </c>
    </row>
    <row r="14" spans="1:3" x14ac:dyDescent="0.25">
      <c r="A14" s="35" t="s">
        <v>27</v>
      </c>
      <c r="B14" s="10">
        <v>10</v>
      </c>
      <c r="C14" s="15">
        <v>31</v>
      </c>
    </row>
    <row r="15" spans="1:3" x14ac:dyDescent="0.25">
      <c r="A15" s="35" t="s">
        <v>29</v>
      </c>
      <c r="B15" s="10">
        <v>10</v>
      </c>
      <c r="C15" s="15">
        <v>31</v>
      </c>
    </row>
    <row r="16" spans="1:3" x14ac:dyDescent="0.25">
      <c r="A16" s="35" t="s">
        <v>31</v>
      </c>
      <c r="B16" s="10">
        <v>10</v>
      </c>
      <c r="C16" s="15">
        <v>31</v>
      </c>
    </row>
    <row r="17" spans="1:3" x14ac:dyDescent="0.25">
      <c r="A17" s="35" t="s">
        <v>33</v>
      </c>
      <c r="B17" s="10">
        <v>3</v>
      </c>
      <c r="C17" s="15">
        <v>24</v>
      </c>
    </row>
    <row r="18" spans="1:3" x14ac:dyDescent="0.25">
      <c r="A18" s="35" t="s">
        <v>35</v>
      </c>
      <c r="B18" s="10">
        <v>5</v>
      </c>
      <c r="C18" s="15">
        <v>24</v>
      </c>
    </row>
    <row r="19" spans="1:3" x14ac:dyDescent="0.25">
      <c r="A19" s="35" t="s">
        <v>37</v>
      </c>
      <c r="B19" s="10">
        <v>5</v>
      </c>
      <c r="C19" s="15">
        <v>9</v>
      </c>
    </row>
    <row r="20" spans="1:3" x14ac:dyDescent="0.25">
      <c r="A20" s="35" t="s">
        <v>39</v>
      </c>
      <c r="B20" s="10">
        <v>5</v>
      </c>
      <c r="C20" s="15">
        <v>10</v>
      </c>
    </row>
    <row r="21" spans="1:3" x14ac:dyDescent="0.25">
      <c r="A21" s="35" t="s">
        <v>41</v>
      </c>
      <c r="B21" s="10">
        <v>5</v>
      </c>
      <c r="C21" s="15">
        <v>10</v>
      </c>
    </row>
    <row r="22" spans="1:3" x14ac:dyDescent="0.25">
      <c r="A22" s="35" t="s">
        <v>43</v>
      </c>
      <c r="B22" s="10">
        <v>5</v>
      </c>
      <c r="C22" s="15">
        <v>9</v>
      </c>
    </row>
    <row r="23" spans="1:3" x14ac:dyDescent="0.25">
      <c r="A23" s="35" t="s">
        <v>45</v>
      </c>
      <c r="B23" s="10">
        <v>5</v>
      </c>
      <c r="C23" s="15">
        <v>9</v>
      </c>
    </row>
    <row r="24" spans="1:3" x14ac:dyDescent="0.25">
      <c r="A24" s="35" t="s">
        <v>47</v>
      </c>
      <c r="B24" s="10">
        <v>5</v>
      </c>
      <c r="C24" s="15">
        <v>9</v>
      </c>
    </row>
    <row r="25" spans="1:3" x14ac:dyDescent="0.25">
      <c r="A25" s="35" t="s">
        <v>49</v>
      </c>
      <c r="B25" s="10">
        <v>5</v>
      </c>
      <c r="C25" s="15">
        <v>9</v>
      </c>
    </row>
    <row r="26" spans="1:3" x14ac:dyDescent="0.25">
      <c r="A26" s="35" t="s">
        <v>51</v>
      </c>
      <c r="B26" s="10">
        <v>5</v>
      </c>
      <c r="C26" s="15">
        <v>10</v>
      </c>
    </row>
    <row r="27" spans="1:3" x14ac:dyDescent="0.25">
      <c r="A27" s="35" t="s">
        <v>53</v>
      </c>
      <c r="B27" s="10">
        <v>5</v>
      </c>
      <c r="C27" s="15">
        <v>10</v>
      </c>
    </row>
    <row r="28" spans="1:3" x14ac:dyDescent="0.25">
      <c r="A28" s="35" t="s">
        <v>55</v>
      </c>
      <c r="B28" s="10">
        <v>5</v>
      </c>
      <c r="C28" s="15">
        <v>10</v>
      </c>
    </row>
    <row r="29" spans="1:3" x14ac:dyDescent="0.25">
      <c r="A29" s="35" t="s">
        <v>57</v>
      </c>
      <c r="B29" s="10">
        <v>5</v>
      </c>
      <c r="C29" s="15">
        <v>10</v>
      </c>
    </row>
    <row r="30" spans="1:3" x14ac:dyDescent="0.25">
      <c r="A30" s="35" t="s">
        <v>59</v>
      </c>
      <c r="B30" s="10">
        <v>5</v>
      </c>
      <c r="C30" s="15">
        <v>10</v>
      </c>
    </row>
    <row r="31" spans="1:3" x14ac:dyDescent="0.25">
      <c r="A31" s="35" t="s">
        <v>61</v>
      </c>
      <c r="B31" s="10">
        <v>5</v>
      </c>
      <c r="C31" s="15">
        <v>9</v>
      </c>
    </row>
    <row r="32" spans="1:3" x14ac:dyDescent="0.25">
      <c r="A32" s="35" t="s">
        <v>63</v>
      </c>
      <c r="B32" s="10">
        <v>5</v>
      </c>
      <c r="C32" s="15">
        <v>9</v>
      </c>
    </row>
    <row r="33" spans="1:3" x14ac:dyDescent="0.25">
      <c r="A33" s="35" t="s">
        <v>65</v>
      </c>
      <c r="B33" s="10">
        <v>5</v>
      </c>
      <c r="C33" s="15">
        <v>10</v>
      </c>
    </row>
    <row r="34" spans="1:3" x14ac:dyDescent="0.25">
      <c r="A34" s="35" t="s">
        <v>66</v>
      </c>
      <c r="B34" s="10">
        <v>5</v>
      </c>
      <c r="C34" s="15">
        <v>10</v>
      </c>
    </row>
    <row r="35" spans="1:3" x14ac:dyDescent="0.25">
      <c r="A35" s="35" t="s">
        <v>68</v>
      </c>
      <c r="B35" s="10">
        <v>5</v>
      </c>
      <c r="C35" s="15">
        <v>10</v>
      </c>
    </row>
    <row r="36" spans="1:3" x14ac:dyDescent="0.25">
      <c r="A36" s="35" t="s">
        <v>70</v>
      </c>
      <c r="B36" s="10">
        <v>5</v>
      </c>
      <c r="C36" s="15">
        <v>10</v>
      </c>
    </row>
    <row r="37" spans="1:3" x14ac:dyDescent="0.25">
      <c r="A37" s="35" t="s">
        <v>72</v>
      </c>
      <c r="B37" s="10">
        <v>5</v>
      </c>
      <c r="C37" s="15">
        <v>10</v>
      </c>
    </row>
    <row r="38" spans="1:3" x14ac:dyDescent="0.25">
      <c r="A38" s="35" t="s">
        <v>74</v>
      </c>
      <c r="B38" s="10">
        <v>5</v>
      </c>
      <c r="C38" s="15">
        <v>10</v>
      </c>
    </row>
    <row r="39" spans="1:3" x14ac:dyDescent="0.25">
      <c r="A39" s="35" t="s">
        <v>76</v>
      </c>
      <c r="B39" s="10">
        <v>5</v>
      </c>
      <c r="C39" s="15">
        <v>10</v>
      </c>
    </row>
    <row r="40" spans="1:3" x14ac:dyDescent="0.25">
      <c r="A40" s="35" t="s">
        <v>78</v>
      </c>
      <c r="B40" s="10">
        <v>5</v>
      </c>
      <c r="C40" s="15">
        <v>10</v>
      </c>
    </row>
    <row r="41" spans="1:3" x14ac:dyDescent="0.25">
      <c r="A41" s="35" t="s">
        <v>79</v>
      </c>
      <c r="B41" s="10">
        <v>5</v>
      </c>
      <c r="C41" s="15">
        <v>10</v>
      </c>
    </row>
    <row r="42" spans="1:3" x14ac:dyDescent="0.25">
      <c r="A42" s="36" t="s">
        <v>81</v>
      </c>
      <c r="B42" s="10">
        <v>5</v>
      </c>
      <c r="C42" s="15">
        <v>10</v>
      </c>
    </row>
    <row r="43" spans="1:3" x14ac:dyDescent="0.25">
      <c r="A43" s="36" t="s">
        <v>83</v>
      </c>
      <c r="B43" s="10">
        <v>5</v>
      </c>
      <c r="C43" s="15">
        <v>10</v>
      </c>
    </row>
    <row r="44" spans="1:3" x14ac:dyDescent="0.25">
      <c r="A44" s="36" t="s">
        <v>85</v>
      </c>
      <c r="B44" s="10">
        <v>5</v>
      </c>
      <c r="C44" s="15">
        <v>10</v>
      </c>
    </row>
    <row r="45" spans="1:3" x14ac:dyDescent="0.25">
      <c r="A45" s="35" t="s">
        <v>86</v>
      </c>
      <c r="B45" s="10">
        <v>5</v>
      </c>
      <c r="C45" s="15">
        <v>10</v>
      </c>
    </row>
    <row r="46" spans="1:3" x14ac:dyDescent="0.25">
      <c r="A46" s="35" t="s">
        <v>88</v>
      </c>
      <c r="B46" s="10">
        <v>5</v>
      </c>
      <c r="C46" s="15">
        <v>10</v>
      </c>
    </row>
    <row r="47" spans="1:3" x14ac:dyDescent="0.25">
      <c r="A47" s="35" t="s">
        <v>90</v>
      </c>
      <c r="B47" s="10">
        <v>5</v>
      </c>
      <c r="C47" s="15">
        <v>10</v>
      </c>
    </row>
    <row r="48" spans="1:3" x14ac:dyDescent="0.25">
      <c r="A48" s="35" t="s">
        <v>92</v>
      </c>
      <c r="B48" s="10">
        <v>5</v>
      </c>
      <c r="C48" s="15">
        <v>10</v>
      </c>
    </row>
    <row r="49" spans="1:3" x14ac:dyDescent="0.25">
      <c r="A49" s="35" t="s">
        <v>94</v>
      </c>
      <c r="B49" s="10">
        <v>5</v>
      </c>
      <c r="C49" s="15">
        <v>10</v>
      </c>
    </row>
    <row r="50" spans="1:3" x14ac:dyDescent="0.25">
      <c r="A50" s="35" t="s">
        <v>96</v>
      </c>
      <c r="B50" s="10">
        <v>3</v>
      </c>
      <c r="C50" s="15">
        <v>10</v>
      </c>
    </row>
    <row r="51" spans="1:3" x14ac:dyDescent="0.25">
      <c r="A51" s="35" t="s">
        <v>98</v>
      </c>
      <c r="B51" s="10">
        <v>3</v>
      </c>
      <c r="C51" s="15">
        <v>10</v>
      </c>
    </row>
    <row r="52" spans="1:3" ht="15.75" thickBot="1" x14ac:dyDescent="0.3">
      <c r="A52" s="37" t="s">
        <v>100</v>
      </c>
      <c r="B52" s="13">
        <v>3</v>
      </c>
      <c r="C52" s="15">
        <v>10</v>
      </c>
    </row>
    <row r="53" spans="1:3" x14ac:dyDescent="0.25">
      <c r="C5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10E0-C700-466B-A2C6-FECC0FA174A8}">
  <dimension ref="A1:C52"/>
  <sheetViews>
    <sheetView workbookViewId="0">
      <selection activeCell="A34"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x14ac:dyDescent="0.25">
      <c r="A1" s="34" t="s">
        <v>0</v>
      </c>
      <c r="B1" s="7" t="s">
        <v>103</v>
      </c>
      <c r="C1" s="33" t="s">
        <v>108</v>
      </c>
    </row>
    <row r="2" spans="1:3" x14ac:dyDescent="0.25">
      <c r="A2" s="35" t="s">
        <v>5</v>
      </c>
      <c r="B2" s="10">
        <v>8</v>
      </c>
      <c r="C2" s="15">
        <v>22</v>
      </c>
    </row>
    <row r="3" spans="1:3" x14ac:dyDescent="0.25">
      <c r="A3" s="35" t="s">
        <v>7</v>
      </c>
      <c r="B3" s="10">
        <v>8</v>
      </c>
      <c r="C3" s="15">
        <v>22</v>
      </c>
    </row>
    <row r="4" spans="1:3" x14ac:dyDescent="0.25">
      <c r="A4" s="35" t="s">
        <v>9</v>
      </c>
      <c r="B4" s="10">
        <v>8</v>
      </c>
      <c r="C4" s="15">
        <v>22</v>
      </c>
    </row>
    <row r="5" spans="1:3" x14ac:dyDescent="0.25">
      <c r="A5" s="35" t="s">
        <v>11</v>
      </c>
      <c r="B5" s="10">
        <v>8</v>
      </c>
      <c r="C5" s="15">
        <v>22</v>
      </c>
    </row>
    <row r="6" spans="1:3" x14ac:dyDescent="0.25">
      <c r="A6" s="35" t="s">
        <v>13</v>
      </c>
      <c r="B6" s="10">
        <v>8</v>
      </c>
      <c r="C6" s="15">
        <v>31</v>
      </c>
    </row>
    <row r="7" spans="1:3" x14ac:dyDescent="0.25">
      <c r="A7" s="35" t="s">
        <v>15</v>
      </c>
      <c r="B7" s="10">
        <v>8</v>
      </c>
      <c r="C7" s="15">
        <v>31</v>
      </c>
    </row>
    <row r="8" spans="1:3" x14ac:dyDescent="0.25">
      <c r="A8" s="35" t="s">
        <v>17</v>
      </c>
      <c r="B8" s="10">
        <v>8</v>
      </c>
      <c r="C8" s="15">
        <v>31</v>
      </c>
    </row>
    <row r="9" spans="1:3" x14ac:dyDescent="0.25">
      <c r="A9" s="35" t="s">
        <v>19</v>
      </c>
      <c r="B9" s="10">
        <v>8</v>
      </c>
      <c r="C9" s="15">
        <v>21</v>
      </c>
    </row>
    <row r="10" spans="1:3" x14ac:dyDescent="0.25">
      <c r="A10" s="35" t="s">
        <v>21</v>
      </c>
      <c r="B10" s="10">
        <v>8</v>
      </c>
      <c r="C10" s="15">
        <v>21</v>
      </c>
    </row>
    <row r="11" spans="1:3" x14ac:dyDescent="0.25">
      <c r="A11" s="35" t="s">
        <v>23</v>
      </c>
      <c r="B11" s="10">
        <v>8</v>
      </c>
      <c r="C11" s="15">
        <v>24</v>
      </c>
    </row>
    <row r="12" spans="1:3" x14ac:dyDescent="0.25">
      <c r="A12" s="35" t="s">
        <v>25</v>
      </c>
      <c r="B12" s="10">
        <v>8</v>
      </c>
      <c r="C12" s="15">
        <v>24</v>
      </c>
    </row>
    <row r="13" spans="1:3" x14ac:dyDescent="0.25">
      <c r="A13" s="35" t="s">
        <v>27</v>
      </c>
      <c r="B13" s="10">
        <v>8</v>
      </c>
      <c r="C13" s="15">
        <v>31</v>
      </c>
    </row>
    <row r="14" spans="1:3" x14ac:dyDescent="0.25">
      <c r="A14" s="35" t="s">
        <v>29</v>
      </c>
      <c r="B14" s="10">
        <v>8</v>
      </c>
      <c r="C14" s="15">
        <v>31</v>
      </c>
    </row>
    <row r="15" spans="1:3" x14ac:dyDescent="0.25">
      <c r="A15" s="35" t="s">
        <v>31</v>
      </c>
      <c r="B15" s="10">
        <v>8</v>
      </c>
      <c r="C15" s="15">
        <v>31</v>
      </c>
    </row>
    <row r="16" spans="1:3" x14ac:dyDescent="0.25">
      <c r="A16" s="35" t="s">
        <v>33</v>
      </c>
      <c r="B16" s="10">
        <v>8</v>
      </c>
      <c r="C16" s="15">
        <v>24</v>
      </c>
    </row>
    <row r="17" spans="1:3" x14ac:dyDescent="0.25">
      <c r="A17" s="35" t="s">
        <v>35</v>
      </c>
      <c r="B17" s="10">
        <v>8</v>
      </c>
      <c r="C17" s="15">
        <v>24</v>
      </c>
    </row>
    <row r="18" spans="1:3" x14ac:dyDescent="0.25">
      <c r="A18" s="35" t="s">
        <v>37</v>
      </c>
      <c r="B18" s="10">
        <v>8</v>
      </c>
      <c r="C18" s="15">
        <v>9</v>
      </c>
    </row>
    <row r="19" spans="1:3" x14ac:dyDescent="0.25">
      <c r="A19" s="35" t="s">
        <v>39</v>
      </c>
      <c r="B19" s="10">
        <v>8</v>
      </c>
      <c r="C19" s="15">
        <v>10</v>
      </c>
    </row>
    <row r="20" spans="1:3" x14ac:dyDescent="0.25">
      <c r="A20" s="35" t="s">
        <v>41</v>
      </c>
      <c r="B20" s="10">
        <v>8</v>
      </c>
      <c r="C20" s="15">
        <v>10</v>
      </c>
    </row>
    <row r="21" spans="1:3" x14ac:dyDescent="0.25">
      <c r="A21" s="35" t="s">
        <v>43</v>
      </c>
      <c r="B21" s="10">
        <v>8</v>
      </c>
      <c r="C21" s="15">
        <v>9</v>
      </c>
    </row>
    <row r="22" spans="1:3" x14ac:dyDescent="0.25">
      <c r="A22" s="35" t="s">
        <v>45</v>
      </c>
      <c r="B22" s="10">
        <v>8</v>
      </c>
      <c r="C22" s="15">
        <v>9</v>
      </c>
    </row>
    <row r="23" spans="1:3" x14ac:dyDescent="0.25">
      <c r="A23" s="35" t="s">
        <v>47</v>
      </c>
      <c r="B23" s="10">
        <v>8</v>
      </c>
      <c r="C23" s="15">
        <v>9</v>
      </c>
    </row>
    <row r="24" spans="1:3" x14ac:dyDescent="0.25">
      <c r="A24" s="35" t="s">
        <v>49</v>
      </c>
      <c r="B24" s="10">
        <v>8</v>
      </c>
      <c r="C24" s="15">
        <v>9</v>
      </c>
    </row>
    <row r="25" spans="1:3" x14ac:dyDescent="0.25">
      <c r="A25" s="35" t="s">
        <v>51</v>
      </c>
      <c r="B25" s="10">
        <v>7</v>
      </c>
      <c r="C25" s="15">
        <v>10</v>
      </c>
    </row>
    <row r="26" spans="1:3" x14ac:dyDescent="0.25">
      <c r="A26" s="35" t="s">
        <v>53</v>
      </c>
      <c r="B26" s="10">
        <v>7</v>
      </c>
      <c r="C26" s="15">
        <v>10</v>
      </c>
    </row>
    <row r="27" spans="1:3" x14ac:dyDescent="0.25">
      <c r="A27" s="35" t="s">
        <v>55</v>
      </c>
      <c r="B27" s="10">
        <v>7</v>
      </c>
      <c r="C27" s="15">
        <v>10</v>
      </c>
    </row>
    <row r="28" spans="1:3" x14ac:dyDescent="0.25">
      <c r="A28" s="35" t="s">
        <v>57</v>
      </c>
      <c r="B28" s="10">
        <v>7</v>
      </c>
      <c r="C28" s="15">
        <v>10</v>
      </c>
    </row>
    <row r="29" spans="1:3" x14ac:dyDescent="0.25">
      <c r="A29" s="35" t="s">
        <v>59</v>
      </c>
      <c r="B29" s="10">
        <v>8</v>
      </c>
      <c r="C29" s="15">
        <v>10</v>
      </c>
    </row>
    <row r="30" spans="1:3" x14ac:dyDescent="0.25">
      <c r="A30" s="35" t="s">
        <v>61</v>
      </c>
      <c r="B30" s="10">
        <v>6</v>
      </c>
      <c r="C30" s="15">
        <v>9</v>
      </c>
    </row>
    <row r="31" spans="1:3" x14ac:dyDescent="0.25">
      <c r="A31" s="35" t="s">
        <v>63</v>
      </c>
      <c r="B31" s="10">
        <v>7</v>
      </c>
      <c r="C31" s="15">
        <v>9</v>
      </c>
    </row>
    <row r="32" spans="1:3" x14ac:dyDescent="0.25">
      <c r="A32" s="35" t="s">
        <v>65</v>
      </c>
      <c r="B32" s="10">
        <v>7</v>
      </c>
      <c r="C32" s="15">
        <v>10</v>
      </c>
    </row>
    <row r="33" spans="1:3" x14ac:dyDescent="0.25">
      <c r="A33" s="35" t="s">
        <v>66</v>
      </c>
      <c r="B33" s="10">
        <v>7</v>
      </c>
      <c r="C33" s="15">
        <v>10</v>
      </c>
    </row>
    <row r="34" spans="1:3" x14ac:dyDescent="0.25">
      <c r="A34" s="35" t="s">
        <v>68</v>
      </c>
      <c r="B34" s="10">
        <v>7</v>
      </c>
      <c r="C34" s="15">
        <v>10</v>
      </c>
    </row>
    <row r="35" spans="1:3" x14ac:dyDescent="0.25">
      <c r="A35" s="35" t="s">
        <v>70</v>
      </c>
      <c r="B35" s="10">
        <v>7</v>
      </c>
      <c r="C35" s="15">
        <v>10</v>
      </c>
    </row>
    <row r="36" spans="1:3" x14ac:dyDescent="0.25">
      <c r="A36" s="35" t="s">
        <v>72</v>
      </c>
      <c r="B36" s="10">
        <v>7</v>
      </c>
      <c r="C36" s="15">
        <v>10</v>
      </c>
    </row>
    <row r="37" spans="1:3" x14ac:dyDescent="0.25">
      <c r="A37" s="35" t="s">
        <v>74</v>
      </c>
      <c r="B37" s="10">
        <v>7</v>
      </c>
      <c r="C37" s="15">
        <v>10</v>
      </c>
    </row>
    <row r="38" spans="1:3" x14ac:dyDescent="0.25">
      <c r="A38" s="35" t="s">
        <v>76</v>
      </c>
      <c r="B38" s="10">
        <v>7</v>
      </c>
      <c r="C38" s="15">
        <v>10</v>
      </c>
    </row>
    <row r="39" spans="1:3" x14ac:dyDescent="0.25">
      <c r="A39" s="35" t="s">
        <v>78</v>
      </c>
      <c r="B39" s="10">
        <v>7</v>
      </c>
      <c r="C39" s="15">
        <v>10</v>
      </c>
    </row>
    <row r="40" spans="1:3" x14ac:dyDescent="0.25">
      <c r="A40" s="35" t="s">
        <v>79</v>
      </c>
      <c r="B40" s="10">
        <v>7</v>
      </c>
      <c r="C40" s="15">
        <v>10</v>
      </c>
    </row>
    <row r="41" spans="1:3" x14ac:dyDescent="0.25">
      <c r="A41" s="36" t="s">
        <v>81</v>
      </c>
      <c r="B41" s="10">
        <v>7</v>
      </c>
      <c r="C41" s="15">
        <v>10</v>
      </c>
    </row>
    <row r="42" spans="1:3" x14ac:dyDescent="0.25">
      <c r="A42" s="36" t="s">
        <v>83</v>
      </c>
      <c r="B42" s="10">
        <v>7</v>
      </c>
      <c r="C42" s="15">
        <v>10</v>
      </c>
    </row>
    <row r="43" spans="1:3" x14ac:dyDescent="0.25">
      <c r="A43" s="36" t="s">
        <v>85</v>
      </c>
      <c r="B43" s="10">
        <v>7</v>
      </c>
      <c r="C43" s="15">
        <v>10</v>
      </c>
    </row>
    <row r="44" spans="1:3" x14ac:dyDescent="0.25">
      <c r="A44" s="35" t="s">
        <v>86</v>
      </c>
      <c r="B44" s="10">
        <v>7</v>
      </c>
      <c r="C44" s="15">
        <v>10</v>
      </c>
    </row>
    <row r="45" spans="1:3" x14ac:dyDescent="0.25">
      <c r="A45" s="35" t="s">
        <v>88</v>
      </c>
      <c r="B45" s="10">
        <v>7</v>
      </c>
      <c r="C45" s="15">
        <v>10</v>
      </c>
    </row>
    <row r="46" spans="1:3" x14ac:dyDescent="0.25">
      <c r="A46" s="35" t="s">
        <v>90</v>
      </c>
      <c r="B46" s="10">
        <v>7</v>
      </c>
      <c r="C46" s="15">
        <v>10</v>
      </c>
    </row>
    <row r="47" spans="1:3" x14ac:dyDescent="0.25">
      <c r="A47" s="35" t="s">
        <v>92</v>
      </c>
      <c r="B47" s="10">
        <v>7</v>
      </c>
      <c r="C47" s="15">
        <v>10</v>
      </c>
    </row>
    <row r="48" spans="1:3" x14ac:dyDescent="0.25">
      <c r="A48" s="35" t="s">
        <v>94</v>
      </c>
      <c r="B48" s="10">
        <v>5</v>
      </c>
      <c r="C48" s="15">
        <v>10</v>
      </c>
    </row>
    <row r="49" spans="1:3" x14ac:dyDescent="0.25">
      <c r="A49" s="35" t="s">
        <v>96</v>
      </c>
      <c r="B49" s="10">
        <v>5</v>
      </c>
      <c r="C49" s="15">
        <v>10</v>
      </c>
    </row>
    <row r="50" spans="1:3" x14ac:dyDescent="0.25">
      <c r="A50" s="35" t="s">
        <v>98</v>
      </c>
      <c r="B50" s="10">
        <v>5</v>
      </c>
      <c r="C50" s="15">
        <v>10</v>
      </c>
    </row>
    <row r="51" spans="1:3" ht="15.75" thickBot="1" x14ac:dyDescent="0.3">
      <c r="A51" s="37"/>
      <c r="B51" s="13"/>
    </row>
    <row r="52" spans="1:3" x14ac:dyDescent="0.25">
      <c r="C5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6912-B8F1-4397-AE31-4A0C97A22EB8}">
  <dimension ref="A1:C43"/>
  <sheetViews>
    <sheetView workbookViewId="0">
      <selection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ht="13.7" customHeight="1" x14ac:dyDescent="0.25">
      <c r="A1" s="34" t="s">
        <v>0</v>
      </c>
      <c r="B1" s="2" t="s">
        <v>103</v>
      </c>
      <c r="C1" s="33" t="s">
        <v>108</v>
      </c>
    </row>
    <row r="2" spans="1:3" x14ac:dyDescent="0.25">
      <c r="A2" s="35" t="s">
        <v>3</v>
      </c>
      <c r="B2" s="23">
        <v>28</v>
      </c>
      <c r="C2" s="15">
        <v>22</v>
      </c>
    </row>
    <row r="3" spans="1:3" x14ac:dyDescent="0.25">
      <c r="A3" s="35" t="s">
        <v>5</v>
      </c>
      <c r="B3" s="23">
        <v>19</v>
      </c>
      <c r="C3" s="15">
        <v>22</v>
      </c>
    </row>
    <row r="4" spans="1:3" x14ac:dyDescent="0.25">
      <c r="A4" s="35" t="s">
        <v>7</v>
      </c>
      <c r="B4" s="23">
        <v>69</v>
      </c>
      <c r="C4" s="15">
        <v>22</v>
      </c>
    </row>
    <row r="5" spans="1:3" x14ac:dyDescent="0.25">
      <c r="A5" s="35" t="s">
        <v>9</v>
      </c>
      <c r="B5" s="23">
        <v>63</v>
      </c>
      <c r="C5" s="15">
        <v>22</v>
      </c>
    </row>
    <row r="6" spans="1:3" x14ac:dyDescent="0.25">
      <c r="A6" s="35" t="s">
        <v>11</v>
      </c>
      <c r="B6" s="23">
        <v>63</v>
      </c>
      <c r="C6" s="15">
        <v>22</v>
      </c>
    </row>
    <row r="7" spans="1:3" x14ac:dyDescent="0.25">
      <c r="A7" s="35" t="s">
        <v>13</v>
      </c>
      <c r="B7" s="23">
        <v>63</v>
      </c>
      <c r="C7" s="15">
        <v>31</v>
      </c>
    </row>
    <row r="8" spans="1:3" x14ac:dyDescent="0.25">
      <c r="A8" s="35" t="s">
        <v>19</v>
      </c>
      <c r="B8" s="23">
        <v>63</v>
      </c>
      <c r="C8" s="15">
        <v>21</v>
      </c>
    </row>
    <row r="9" spans="1:3" x14ac:dyDescent="0.25">
      <c r="A9" s="35" t="s">
        <v>21</v>
      </c>
      <c r="B9" s="23">
        <v>63</v>
      </c>
      <c r="C9" s="15">
        <v>21</v>
      </c>
    </row>
    <row r="10" spans="1:3" x14ac:dyDescent="0.25">
      <c r="A10" s="35" t="s">
        <v>23</v>
      </c>
      <c r="B10" s="23">
        <v>65</v>
      </c>
      <c r="C10" s="15">
        <v>24</v>
      </c>
    </row>
    <row r="11" spans="1:3" x14ac:dyDescent="0.25">
      <c r="A11" s="35" t="s">
        <v>25</v>
      </c>
      <c r="B11" s="23">
        <v>65</v>
      </c>
      <c r="C11" s="15">
        <v>24</v>
      </c>
    </row>
    <row r="12" spans="1:3" x14ac:dyDescent="0.25">
      <c r="A12" s="35" t="s">
        <v>27</v>
      </c>
      <c r="B12" s="23">
        <v>165</v>
      </c>
      <c r="C12" s="15">
        <v>31</v>
      </c>
    </row>
    <row r="13" spans="1:3" x14ac:dyDescent="0.25">
      <c r="A13" s="35" t="s">
        <v>29</v>
      </c>
      <c r="B13" s="23">
        <v>165</v>
      </c>
      <c r="C13" s="15">
        <v>31</v>
      </c>
    </row>
    <row r="14" spans="1:3" x14ac:dyDescent="0.25">
      <c r="A14" s="35" t="s">
        <v>31</v>
      </c>
      <c r="B14" s="23">
        <v>165</v>
      </c>
      <c r="C14" s="15">
        <v>31</v>
      </c>
    </row>
    <row r="15" spans="1:3" x14ac:dyDescent="0.25">
      <c r="A15" s="35" t="s">
        <v>33</v>
      </c>
      <c r="B15" s="23">
        <v>2</v>
      </c>
      <c r="C15" s="15">
        <v>24</v>
      </c>
    </row>
    <row r="16" spans="1:3" x14ac:dyDescent="0.25">
      <c r="A16" s="35" t="s">
        <v>35</v>
      </c>
      <c r="B16" s="23">
        <v>10</v>
      </c>
      <c r="C16" s="15">
        <v>24</v>
      </c>
    </row>
    <row r="17" spans="1:3" x14ac:dyDescent="0.25">
      <c r="A17" s="35" t="s">
        <v>37</v>
      </c>
      <c r="B17" s="23">
        <v>23</v>
      </c>
      <c r="C17" s="15">
        <v>9</v>
      </c>
    </row>
    <row r="18" spans="1:3" x14ac:dyDescent="0.25">
      <c r="A18" s="35" t="s">
        <v>39</v>
      </c>
      <c r="B18" s="23">
        <v>74</v>
      </c>
      <c r="C18" s="15">
        <v>10</v>
      </c>
    </row>
    <row r="19" spans="1:3" x14ac:dyDescent="0.25">
      <c r="A19" s="35" t="s">
        <v>41</v>
      </c>
      <c r="B19" s="23">
        <v>74</v>
      </c>
      <c r="C19" s="15">
        <v>10</v>
      </c>
    </row>
    <row r="20" spans="1:3" x14ac:dyDescent="0.25">
      <c r="A20" s="35" t="s">
        <v>43</v>
      </c>
      <c r="B20" s="23">
        <v>74</v>
      </c>
      <c r="C20" s="15">
        <v>9</v>
      </c>
    </row>
    <row r="21" spans="1:3" x14ac:dyDescent="0.25">
      <c r="A21" s="35" t="s">
        <v>45</v>
      </c>
      <c r="B21" s="23">
        <v>74</v>
      </c>
      <c r="C21" s="15">
        <v>9</v>
      </c>
    </row>
    <row r="22" spans="1:3" x14ac:dyDescent="0.25">
      <c r="A22" s="35" t="s">
        <v>47</v>
      </c>
      <c r="B22" s="23">
        <v>74</v>
      </c>
      <c r="C22" s="15">
        <v>9</v>
      </c>
    </row>
    <row r="23" spans="1:3" x14ac:dyDescent="0.25">
      <c r="A23" s="35" t="s">
        <v>49</v>
      </c>
      <c r="B23" s="23">
        <v>29</v>
      </c>
      <c r="C23" s="15">
        <v>9</v>
      </c>
    </row>
    <row r="24" spans="1:3" x14ac:dyDescent="0.25">
      <c r="A24" s="35" t="s">
        <v>53</v>
      </c>
      <c r="B24" s="23">
        <v>30</v>
      </c>
      <c r="C24" s="15">
        <v>10</v>
      </c>
    </row>
    <row r="25" spans="1:3" x14ac:dyDescent="0.25">
      <c r="A25" s="35" t="s">
        <v>55</v>
      </c>
      <c r="B25" s="23">
        <v>30</v>
      </c>
      <c r="C25" s="15">
        <v>10</v>
      </c>
    </row>
    <row r="26" spans="1:3" x14ac:dyDescent="0.25">
      <c r="A26" s="35" t="s">
        <v>61</v>
      </c>
      <c r="B26" s="23">
        <v>76</v>
      </c>
      <c r="C26" s="15">
        <v>9</v>
      </c>
    </row>
    <row r="27" spans="1:3" x14ac:dyDescent="0.25">
      <c r="A27" s="35" t="s">
        <v>63</v>
      </c>
      <c r="B27" s="23">
        <v>75</v>
      </c>
      <c r="C27" s="15">
        <v>9</v>
      </c>
    </row>
    <row r="28" spans="1:3" x14ac:dyDescent="0.25">
      <c r="A28" s="35" t="s">
        <v>65</v>
      </c>
      <c r="B28" s="23">
        <v>75</v>
      </c>
      <c r="C28" s="15">
        <v>10</v>
      </c>
    </row>
    <row r="29" spans="1:3" x14ac:dyDescent="0.25">
      <c r="A29" s="35" t="s">
        <v>68</v>
      </c>
      <c r="B29" s="23">
        <v>26</v>
      </c>
      <c r="C29" s="15">
        <v>10</v>
      </c>
    </row>
    <row r="30" spans="1:3" x14ac:dyDescent="0.25">
      <c r="A30" s="35" t="s">
        <v>76</v>
      </c>
      <c r="B30" s="23">
        <v>26</v>
      </c>
      <c r="C30" s="15">
        <v>10</v>
      </c>
    </row>
    <row r="31" spans="1:3" x14ac:dyDescent="0.25">
      <c r="A31" s="35" t="s">
        <v>78</v>
      </c>
      <c r="B31" s="23">
        <v>26</v>
      </c>
      <c r="C31" s="15">
        <v>10</v>
      </c>
    </row>
    <row r="32" spans="1:3" x14ac:dyDescent="0.25">
      <c r="A32" s="35" t="s">
        <v>79</v>
      </c>
      <c r="B32" s="23">
        <v>26</v>
      </c>
      <c r="C32" s="15">
        <v>10</v>
      </c>
    </row>
    <row r="33" spans="1:3" x14ac:dyDescent="0.25">
      <c r="A33" s="36" t="s">
        <v>81</v>
      </c>
      <c r="B33" s="23">
        <v>76</v>
      </c>
      <c r="C33" s="15">
        <v>10</v>
      </c>
    </row>
    <row r="34" spans="1:3" x14ac:dyDescent="0.25">
      <c r="A34" s="36" t="s">
        <v>83</v>
      </c>
      <c r="B34" s="23">
        <v>26</v>
      </c>
      <c r="C34" s="15">
        <v>10</v>
      </c>
    </row>
    <row r="35" spans="1:3" x14ac:dyDescent="0.25">
      <c r="A35" s="36" t="s">
        <v>85</v>
      </c>
      <c r="B35" s="23">
        <v>26</v>
      </c>
      <c r="C35" s="15">
        <v>10</v>
      </c>
    </row>
    <row r="36" spans="1:3" x14ac:dyDescent="0.25">
      <c r="A36" s="35" t="s">
        <v>86</v>
      </c>
      <c r="B36" s="23">
        <v>26</v>
      </c>
      <c r="C36" s="15">
        <v>10</v>
      </c>
    </row>
    <row r="37" spans="1:3" x14ac:dyDescent="0.25">
      <c r="A37" s="35" t="s">
        <v>88</v>
      </c>
      <c r="B37" s="23">
        <v>6</v>
      </c>
      <c r="C37" s="15">
        <v>10</v>
      </c>
    </row>
    <row r="38" spans="1:3" x14ac:dyDescent="0.25">
      <c r="A38" s="35" t="s">
        <v>90</v>
      </c>
      <c r="B38" s="23">
        <v>15</v>
      </c>
      <c r="C38" s="15">
        <v>10</v>
      </c>
    </row>
    <row r="39" spans="1:3" x14ac:dyDescent="0.25">
      <c r="A39" s="35" t="s">
        <v>92</v>
      </c>
      <c r="B39" s="23">
        <v>6</v>
      </c>
      <c r="C39" s="15">
        <v>10</v>
      </c>
    </row>
    <row r="40" spans="1:3" x14ac:dyDescent="0.25">
      <c r="A40" s="35" t="s">
        <v>94</v>
      </c>
      <c r="B40" s="23">
        <v>8</v>
      </c>
      <c r="C40" s="15">
        <v>10</v>
      </c>
    </row>
    <row r="41" spans="1:3" x14ac:dyDescent="0.25">
      <c r="A41" s="35" t="s">
        <v>98</v>
      </c>
      <c r="B41" s="23">
        <v>30</v>
      </c>
      <c r="C41" s="15">
        <v>10</v>
      </c>
    </row>
    <row r="42" spans="1:3" ht="15.75" thickBot="1" x14ac:dyDescent="0.3">
      <c r="A42" s="37" t="s">
        <v>100</v>
      </c>
      <c r="B42" s="25">
        <v>5</v>
      </c>
      <c r="C42" s="15">
        <v>10</v>
      </c>
    </row>
    <row r="43" spans="1:3" x14ac:dyDescent="0.25">
      <c r="C4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E3A8-9919-4FDF-9BCB-2388BCDAD5D0}">
  <dimension ref="A1:C53"/>
  <sheetViews>
    <sheetView workbookViewId="0">
      <selection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x14ac:dyDescent="0.25">
      <c r="A1" s="34" t="s">
        <v>0</v>
      </c>
      <c r="B1" s="2" t="s">
        <v>104</v>
      </c>
      <c r="C1" s="33" t="s">
        <v>108</v>
      </c>
    </row>
    <row r="2" spans="1:3" x14ac:dyDescent="0.25">
      <c r="A2" s="35" t="s">
        <v>3</v>
      </c>
      <c r="B2" s="10">
        <v>2</v>
      </c>
      <c r="C2" s="15">
        <v>22</v>
      </c>
    </row>
    <row r="3" spans="1:3" x14ac:dyDescent="0.25">
      <c r="A3" s="35" t="s">
        <v>5</v>
      </c>
      <c r="B3" s="10">
        <v>2</v>
      </c>
      <c r="C3" s="15">
        <v>22</v>
      </c>
    </row>
    <row r="4" spans="1:3" x14ac:dyDescent="0.25">
      <c r="A4" s="35" t="s">
        <v>7</v>
      </c>
      <c r="B4" s="10">
        <v>2</v>
      </c>
      <c r="C4" s="15">
        <v>22</v>
      </c>
    </row>
    <row r="5" spans="1:3" x14ac:dyDescent="0.25">
      <c r="A5" s="35" t="s">
        <v>9</v>
      </c>
      <c r="B5" s="10">
        <v>2</v>
      </c>
      <c r="C5" s="15">
        <v>22</v>
      </c>
    </row>
    <row r="6" spans="1:3" x14ac:dyDescent="0.25">
      <c r="A6" s="35" t="s">
        <v>11</v>
      </c>
      <c r="B6" s="10">
        <v>2</v>
      </c>
      <c r="C6" s="15">
        <v>22</v>
      </c>
    </row>
    <row r="7" spans="1:3" x14ac:dyDescent="0.25">
      <c r="A7" s="35" t="s">
        <v>13</v>
      </c>
      <c r="B7" s="10">
        <v>2</v>
      </c>
      <c r="C7" s="15">
        <v>31</v>
      </c>
    </row>
    <row r="8" spans="1:3" x14ac:dyDescent="0.25">
      <c r="A8" s="35" t="s">
        <v>15</v>
      </c>
      <c r="B8" s="10">
        <v>2</v>
      </c>
      <c r="C8" s="15">
        <v>31</v>
      </c>
    </row>
    <row r="9" spans="1:3" x14ac:dyDescent="0.25">
      <c r="A9" s="35" t="s">
        <v>17</v>
      </c>
      <c r="B9" s="10">
        <v>2</v>
      </c>
      <c r="C9" s="15">
        <v>31</v>
      </c>
    </row>
    <row r="10" spans="1:3" x14ac:dyDescent="0.25">
      <c r="A10" s="35" t="s">
        <v>19</v>
      </c>
      <c r="B10" s="10">
        <v>2</v>
      </c>
      <c r="C10" s="15">
        <v>21</v>
      </c>
    </row>
    <row r="11" spans="1:3" x14ac:dyDescent="0.25">
      <c r="A11" s="35" t="s">
        <v>21</v>
      </c>
      <c r="B11" s="10">
        <v>2</v>
      </c>
      <c r="C11" s="15">
        <v>21</v>
      </c>
    </row>
    <row r="12" spans="1:3" x14ac:dyDescent="0.25">
      <c r="A12" s="35" t="s">
        <v>23</v>
      </c>
      <c r="B12" s="10">
        <v>2</v>
      </c>
      <c r="C12" s="15">
        <v>24</v>
      </c>
    </row>
    <row r="13" spans="1:3" x14ac:dyDescent="0.25">
      <c r="A13" s="35" t="s">
        <v>25</v>
      </c>
      <c r="B13" s="10">
        <v>2</v>
      </c>
      <c r="C13" s="15">
        <v>24</v>
      </c>
    </row>
    <row r="14" spans="1:3" x14ac:dyDescent="0.25">
      <c r="A14" s="35" t="s">
        <v>27</v>
      </c>
      <c r="B14" s="10">
        <v>2</v>
      </c>
      <c r="C14" s="15">
        <v>31</v>
      </c>
    </row>
    <row r="15" spans="1:3" x14ac:dyDescent="0.25">
      <c r="A15" s="35" t="s">
        <v>29</v>
      </c>
      <c r="B15" s="10">
        <v>2</v>
      </c>
      <c r="C15" s="15">
        <v>31</v>
      </c>
    </row>
    <row r="16" spans="1:3" x14ac:dyDescent="0.25">
      <c r="A16" s="35" t="s">
        <v>31</v>
      </c>
      <c r="B16" s="10">
        <v>2</v>
      </c>
      <c r="C16" s="15">
        <v>31</v>
      </c>
    </row>
    <row r="17" spans="1:3" x14ac:dyDescent="0.25">
      <c r="A17" s="35" t="s">
        <v>33</v>
      </c>
      <c r="B17" s="10">
        <v>2</v>
      </c>
      <c r="C17" s="15">
        <v>24</v>
      </c>
    </row>
    <row r="18" spans="1:3" x14ac:dyDescent="0.25">
      <c r="A18" s="35" t="s">
        <v>35</v>
      </c>
      <c r="B18" s="10">
        <v>2</v>
      </c>
      <c r="C18" s="15">
        <v>24</v>
      </c>
    </row>
    <row r="19" spans="1:3" x14ac:dyDescent="0.25">
      <c r="A19" s="35" t="s">
        <v>37</v>
      </c>
      <c r="B19" s="10">
        <v>2</v>
      </c>
      <c r="C19" s="15">
        <v>9</v>
      </c>
    </row>
    <row r="20" spans="1:3" x14ac:dyDescent="0.25">
      <c r="A20" s="35" t="s">
        <v>39</v>
      </c>
      <c r="B20" s="10">
        <v>2</v>
      </c>
      <c r="C20" s="15">
        <v>10</v>
      </c>
    </row>
    <row r="21" spans="1:3" x14ac:dyDescent="0.25">
      <c r="A21" s="35" t="s">
        <v>41</v>
      </c>
      <c r="B21" s="10">
        <v>2</v>
      </c>
      <c r="C21" s="15">
        <v>10</v>
      </c>
    </row>
    <row r="22" spans="1:3" x14ac:dyDescent="0.25">
      <c r="A22" s="35" t="s">
        <v>43</v>
      </c>
      <c r="B22" s="10">
        <v>2</v>
      </c>
      <c r="C22" s="15">
        <v>9</v>
      </c>
    </row>
    <row r="23" spans="1:3" x14ac:dyDescent="0.25">
      <c r="A23" s="35" t="s">
        <v>45</v>
      </c>
      <c r="B23" s="10">
        <v>2</v>
      </c>
      <c r="C23" s="15">
        <v>9</v>
      </c>
    </row>
    <row r="24" spans="1:3" x14ac:dyDescent="0.25">
      <c r="A24" s="35" t="s">
        <v>47</v>
      </c>
      <c r="B24" s="10">
        <v>2</v>
      </c>
      <c r="C24" s="15">
        <v>9</v>
      </c>
    </row>
    <row r="25" spans="1:3" x14ac:dyDescent="0.25">
      <c r="A25" s="35" t="s">
        <v>49</v>
      </c>
      <c r="B25" s="10">
        <v>2</v>
      </c>
      <c r="C25" s="15">
        <v>9</v>
      </c>
    </row>
    <row r="26" spans="1:3" x14ac:dyDescent="0.25">
      <c r="A26" s="35" t="s">
        <v>51</v>
      </c>
      <c r="B26" s="10">
        <v>2</v>
      </c>
      <c r="C26" s="15">
        <v>10</v>
      </c>
    </row>
    <row r="27" spans="1:3" x14ac:dyDescent="0.25">
      <c r="A27" s="35" t="s">
        <v>53</v>
      </c>
      <c r="B27" s="10">
        <v>2</v>
      </c>
      <c r="C27" s="15">
        <v>10</v>
      </c>
    </row>
    <row r="28" spans="1:3" x14ac:dyDescent="0.25">
      <c r="A28" s="35" t="s">
        <v>55</v>
      </c>
      <c r="B28" s="10">
        <v>2</v>
      </c>
      <c r="C28" s="15">
        <v>10</v>
      </c>
    </row>
    <row r="29" spans="1:3" x14ac:dyDescent="0.25">
      <c r="A29" s="35" t="s">
        <v>57</v>
      </c>
      <c r="B29" s="10">
        <v>2</v>
      </c>
      <c r="C29" s="15">
        <v>10</v>
      </c>
    </row>
    <row r="30" spans="1:3" x14ac:dyDescent="0.25">
      <c r="A30" s="35" t="s">
        <v>59</v>
      </c>
      <c r="B30" s="10">
        <v>1</v>
      </c>
      <c r="C30" s="15">
        <v>10</v>
      </c>
    </row>
    <row r="31" spans="1:3" x14ac:dyDescent="0.25">
      <c r="A31" s="35" t="s">
        <v>61</v>
      </c>
      <c r="B31" s="10">
        <v>2</v>
      </c>
      <c r="C31" s="15">
        <v>9</v>
      </c>
    </row>
    <row r="32" spans="1:3" x14ac:dyDescent="0.25">
      <c r="A32" s="35" t="s">
        <v>63</v>
      </c>
      <c r="B32" s="10">
        <v>2</v>
      </c>
      <c r="C32" s="15">
        <v>9</v>
      </c>
    </row>
    <row r="33" spans="1:3" x14ac:dyDescent="0.25">
      <c r="A33" s="35" t="s">
        <v>65</v>
      </c>
      <c r="B33" s="10">
        <v>2</v>
      </c>
      <c r="C33" s="15">
        <v>10</v>
      </c>
    </row>
    <row r="34" spans="1:3" x14ac:dyDescent="0.25">
      <c r="A34" s="35" t="s">
        <v>66</v>
      </c>
      <c r="B34" s="10">
        <v>2</v>
      </c>
      <c r="C34" s="15">
        <v>10</v>
      </c>
    </row>
    <row r="35" spans="1:3" x14ac:dyDescent="0.25">
      <c r="A35" s="35" t="s">
        <v>68</v>
      </c>
      <c r="B35" s="10">
        <v>2</v>
      </c>
      <c r="C35" s="15">
        <v>10</v>
      </c>
    </row>
    <row r="36" spans="1:3" x14ac:dyDescent="0.25">
      <c r="A36" s="35" t="s">
        <v>70</v>
      </c>
      <c r="B36" s="10">
        <v>2</v>
      </c>
      <c r="C36" s="15">
        <v>10</v>
      </c>
    </row>
    <row r="37" spans="1:3" x14ac:dyDescent="0.25">
      <c r="A37" s="35" t="s">
        <v>72</v>
      </c>
      <c r="B37" s="10">
        <v>2</v>
      </c>
      <c r="C37" s="15">
        <v>10</v>
      </c>
    </row>
    <row r="38" spans="1:3" x14ac:dyDescent="0.25">
      <c r="A38" s="35" t="s">
        <v>74</v>
      </c>
      <c r="B38" s="10">
        <v>2</v>
      </c>
      <c r="C38" s="15">
        <v>10</v>
      </c>
    </row>
    <row r="39" spans="1:3" x14ac:dyDescent="0.25">
      <c r="A39" s="35" t="s">
        <v>76</v>
      </c>
      <c r="B39" s="10">
        <v>2</v>
      </c>
      <c r="C39" s="15">
        <v>10</v>
      </c>
    </row>
    <row r="40" spans="1:3" x14ac:dyDescent="0.25">
      <c r="A40" s="35" t="s">
        <v>78</v>
      </c>
      <c r="B40" s="10">
        <v>2</v>
      </c>
      <c r="C40" s="15">
        <v>10</v>
      </c>
    </row>
    <row r="41" spans="1:3" x14ac:dyDescent="0.25">
      <c r="A41" s="35" t="s">
        <v>79</v>
      </c>
      <c r="B41" s="10">
        <v>2</v>
      </c>
      <c r="C41" s="15">
        <v>10</v>
      </c>
    </row>
    <row r="42" spans="1:3" x14ac:dyDescent="0.25">
      <c r="A42" s="36" t="s">
        <v>81</v>
      </c>
      <c r="B42" s="10">
        <v>2</v>
      </c>
      <c r="C42" s="15">
        <v>10</v>
      </c>
    </row>
    <row r="43" spans="1:3" x14ac:dyDescent="0.25">
      <c r="A43" s="36" t="s">
        <v>83</v>
      </c>
      <c r="B43" s="10">
        <v>2</v>
      </c>
      <c r="C43" s="15">
        <v>10</v>
      </c>
    </row>
    <row r="44" spans="1:3" x14ac:dyDescent="0.25">
      <c r="A44" s="36" t="s">
        <v>85</v>
      </c>
      <c r="B44" s="10">
        <v>2</v>
      </c>
      <c r="C44" s="15">
        <v>10</v>
      </c>
    </row>
    <row r="45" spans="1:3" x14ac:dyDescent="0.25">
      <c r="A45" s="35" t="s">
        <v>86</v>
      </c>
      <c r="B45" s="10">
        <v>2</v>
      </c>
      <c r="C45" s="15">
        <v>10</v>
      </c>
    </row>
    <row r="46" spans="1:3" x14ac:dyDescent="0.25">
      <c r="A46" s="35" t="s">
        <v>88</v>
      </c>
      <c r="B46" s="10">
        <v>2</v>
      </c>
      <c r="C46" s="15">
        <v>10</v>
      </c>
    </row>
    <row r="47" spans="1:3" x14ac:dyDescent="0.25">
      <c r="A47" s="35" t="s">
        <v>90</v>
      </c>
      <c r="B47" s="10">
        <v>2</v>
      </c>
      <c r="C47" s="15">
        <v>10</v>
      </c>
    </row>
    <row r="48" spans="1:3" x14ac:dyDescent="0.25">
      <c r="A48" s="35" t="s">
        <v>92</v>
      </c>
      <c r="B48" s="10">
        <v>2</v>
      </c>
      <c r="C48" s="15">
        <v>10</v>
      </c>
    </row>
    <row r="49" spans="1:3" x14ac:dyDescent="0.25">
      <c r="A49" s="35" t="s">
        <v>94</v>
      </c>
      <c r="B49" s="10">
        <v>2</v>
      </c>
      <c r="C49" s="15">
        <v>10</v>
      </c>
    </row>
    <row r="50" spans="1:3" x14ac:dyDescent="0.25">
      <c r="A50" s="35" t="s">
        <v>96</v>
      </c>
      <c r="B50" s="10">
        <v>2</v>
      </c>
      <c r="C50" s="15">
        <v>10</v>
      </c>
    </row>
    <row r="51" spans="1:3" x14ac:dyDescent="0.25">
      <c r="A51" s="35" t="s">
        <v>98</v>
      </c>
      <c r="B51" s="10">
        <v>2</v>
      </c>
      <c r="C51" s="15">
        <v>10</v>
      </c>
    </row>
    <row r="52" spans="1:3" ht="15.75" thickBot="1" x14ac:dyDescent="0.3">
      <c r="A52" s="37" t="s">
        <v>100</v>
      </c>
      <c r="B52" s="13">
        <v>2</v>
      </c>
      <c r="C52" s="15">
        <v>10</v>
      </c>
    </row>
    <row r="53" spans="1:3" x14ac:dyDescent="0.25">
      <c r="C53" s="17"/>
    </row>
  </sheetData>
  <autoFilter ref="A1:C1" xr:uid="{E2CDE3A8-9919-4FDF-9BCB-2388BCDAD5D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E0F3-16E7-4CE8-AC9F-9663712997F1}">
  <dimension ref="A1:C7"/>
  <sheetViews>
    <sheetView workbookViewId="0">
      <selection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x14ac:dyDescent="0.25">
      <c r="A1" s="34" t="s">
        <v>0</v>
      </c>
      <c r="B1" s="2" t="s">
        <v>105</v>
      </c>
      <c r="C1" s="33" t="s">
        <v>108</v>
      </c>
    </row>
    <row r="2" spans="1:3" x14ac:dyDescent="0.25">
      <c r="A2" s="35" t="s">
        <v>9</v>
      </c>
      <c r="B2" s="10">
        <v>2</v>
      </c>
      <c r="C2" s="15">
        <v>22</v>
      </c>
    </row>
    <row r="3" spans="1:3" x14ac:dyDescent="0.25">
      <c r="A3" s="35" t="s">
        <v>11</v>
      </c>
      <c r="B3" s="10">
        <v>2</v>
      </c>
      <c r="C3" s="15">
        <v>22</v>
      </c>
    </row>
    <row r="4" spans="1:3" x14ac:dyDescent="0.25">
      <c r="A4" s="35" t="s">
        <v>13</v>
      </c>
      <c r="B4" s="10">
        <v>2</v>
      </c>
      <c r="C4" s="15">
        <v>31</v>
      </c>
    </row>
    <row r="5" spans="1:3" x14ac:dyDescent="0.25">
      <c r="A5" s="35" t="s">
        <v>19</v>
      </c>
      <c r="B5" s="10">
        <v>2</v>
      </c>
      <c r="C5" s="15">
        <v>21</v>
      </c>
    </row>
    <row r="6" spans="1:3" x14ac:dyDescent="0.25">
      <c r="A6" s="35" t="s">
        <v>21</v>
      </c>
      <c r="B6" s="10">
        <v>2</v>
      </c>
      <c r="C6" s="15">
        <v>21</v>
      </c>
    </row>
    <row r="7" spans="1:3" x14ac:dyDescent="0.25">
      <c r="C7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502B-563F-4C5A-A907-C0F26D78C6EC}">
  <dimension ref="A1:C50"/>
  <sheetViews>
    <sheetView topLeftCell="A25" workbookViewId="0">
      <selection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</cols>
  <sheetData>
    <row r="1" spans="1:3" x14ac:dyDescent="0.25">
      <c r="A1" s="34" t="s">
        <v>0</v>
      </c>
      <c r="B1" s="7" t="s">
        <v>106</v>
      </c>
      <c r="C1" s="33" t="s">
        <v>108</v>
      </c>
    </row>
    <row r="2" spans="1:3" x14ac:dyDescent="0.25">
      <c r="A2" s="35" t="s">
        <v>3</v>
      </c>
      <c r="B2" s="10">
        <v>5</v>
      </c>
      <c r="C2" s="15">
        <v>22</v>
      </c>
    </row>
    <row r="3" spans="1:3" x14ac:dyDescent="0.25">
      <c r="A3" s="35" t="s">
        <v>5</v>
      </c>
      <c r="B3" s="10">
        <v>5</v>
      </c>
      <c r="C3" s="15">
        <v>22</v>
      </c>
    </row>
    <row r="4" spans="1:3" x14ac:dyDescent="0.25">
      <c r="A4" s="35" t="s">
        <v>7</v>
      </c>
      <c r="B4" s="10">
        <v>5</v>
      </c>
      <c r="C4" s="15">
        <v>22</v>
      </c>
    </row>
    <row r="5" spans="1:3" x14ac:dyDescent="0.25">
      <c r="A5" s="35" t="s">
        <v>9</v>
      </c>
      <c r="B5" s="10">
        <v>5</v>
      </c>
      <c r="C5" s="15">
        <v>22</v>
      </c>
    </row>
    <row r="6" spans="1:3" x14ac:dyDescent="0.25">
      <c r="A6" s="35" t="s">
        <v>11</v>
      </c>
      <c r="B6" s="10">
        <v>5</v>
      </c>
      <c r="C6" s="15">
        <v>22</v>
      </c>
    </row>
    <row r="7" spans="1:3" x14ac:dyDescent="0.25">
      <c r="A7" s="35" t="s">
        <v>13</v>
      </c>
      <c r="B7" s="10">
        <v>5</v>
      </c>
      <c r="C7" s="15">
        <v>31</v>
      </c>
    </row>
    <row r="8" spans="1:3" x14ac:dyDescent="0.25">
      <c r="A8" s="35" t="s">
        <v>15</v>
      </c>
      <c r="B8" s="10">
        <v>2</v>
      </c>
      <c r="C8" s="15">
        <v>31</v>
      </c>
    </row>
    <row r="9" spans="1:3" x14ac:dyDescent="0.25">
      <c r="A9" s="35" t="s">
        <v>17</v>
      </c>
      <c r="B9" s="10">
        <v>2</v>
      </c>
      <c r="C9" s="15">
        <v>31</v>
      </c>
    </row>
    <row r="10" spans="1:3" x14ac:dyDescent="0.25">
      <c r="A10" s="35" t="s">
        <v>19</v>
      </c>
      <c r="B10" s="10">
        <v>5</v>
      </c>
      <c r="C10" s="15">
        <v>21</v>
      </c>
    </row>
    <row r="11" spans="1:3" x14ac:dyDescent="0.25">
      <c r="A11" s="35" t="s">
        <v>21</v>
      </c>
      <c r="B11" s="10">
        <v>5</v>
      </c>
      <c r="C11" s="15">
        <v>21</v>
      </c>
    </row>
    <row r="12" spans="1:3" x14ac:dyDescent="0.25">
      <c r="A12" s="35" t="s">
        <v>23</v>
      </c>
      <c r="B12" s="10">
        <v>5</v>
      </c>
      <c r="C12" s="15">
        <v>24</v>
      </c>
    </row>
    <row r="13" spans="1:3" x14ac:dyDescent="0.25">
      <c r="A13" s="35" t="s">
        <v>25</v>
      </c>
      <c r="B13" s="10">
        <v>5</v>
      </c>
      <c r="C13" s="15">
        <v>24</v>
      </c>
    </row>
    <row r="14" spans="1:3" x14ac:dyDescent="0.25">
      <c r="A14" s="35" t="s">
        <v>27</v>
      </c>
      <c r="B14" s="10">
        <v>5</v>
      </c>
      <c r="C14" s="15">
        <v>31</v>
      </c>
    </row>
    <row r="15" spans="1:3" x14ac:dyDescent="0.25">
      <c r="A15" s="35" t="s">
        <v>29</v>
      </c>
      <c r="B15" s="10">
        <v>5</v>
      </c>
      <c r="C15" s="15">
        <v>31</v>
      </c>
    </row>
    <row r="16" spans="1:3" x14ac:dyDescent="0.25">
      <c r="A16" s="35" t="s">
        <v>31</v>
      </c>
      <c r="B16" s="10">
        <v>5</v>
      </c>
      <c r="C16" s="15">
        <v>31</v>
      </c>
    </row>
    <row r="17" spans="1:3" x14ac:dyDescent="0.25">
      <c r="A17" s="35" t="s">
        <v>37</v>
      </c>
      <c r="B17" s="10">
        <v>2</v>
      </c>
      <c r="C17" s="15">
        <v>9</v>
      </c>
    </row>
    <row r="18" spans="1:3" x14ac:dyDescent="0.25">
      <c r="A18" s="35" t="s">
        <v>39</v>
      </c>
      <c r="B18" s="10">
        <v>1</v>
      </c>
      <c r="C18" s="15">
        <v>10</v>
      </c>
    </row>
    <row r="19" spans="1:3" x14ac:dyDescent="0.25">
      <c r="A19" s="35" t="s">
        <v>41</v>
      </c>
      <c r="B19" s="10">
        <v>1</v>
      </c>
      <c r="C19" s="15">
        <v>10</v>
      </c>
    </row>
    <row r="20" spans="1:3" x14ac:dyDescent="0.25">
      <c r="A20" s="35" t="s">
        <v>43</v>
      </c>
      <c r="B20" s="10">
        <v>1</v>
      </c>
      <c r="C20" s="15">
        <v>9</v>
      </c>
    </row>
    <row r="21" spans="1:3" x14ac:dyDescent="0.25">
      <c r="A21" s="35" t="s">
        <v>45</v>
      </c>
      <c r="B21" s="10">
        <v>1</v>
      </c>
      <c r="C21" s="15">
        <v>9</v>
      </c>
    </row>
    <row r="22" spans="1:3" x14ac:dyDescent="0.25">
      <c r="A22" s="35" t="s">
        <v>47</v>
      </c>
      <c r="B22" s="10">
        <v>1</v>
      </c>
      <c r="C22" s="15">
        <v>9</v>
      </c>
    </row>
    <row r="23" spans="1:3" x14ac:dyDescent="0.25">
      <c r="A23" s="35" t="s">
        <v>49</v>
      </c>
      <c r="B23" s="10">
        <v>1</v>
      </c>
      <c r="C23" s="15">
        <v>9</v>
      </c>
    </row>
    <row r="24" spans="1:3" x14ac:dyDescent="0.25">
      <c r="A24" s="35" t="s">
        <v>51</v>
      </c>
      <c r="B24" s="10">
        <v>1</v>
      </c>
      <c r="C24" s="15">
        <v>10</v>
      </c>
    </row>
    <row r="25" spans="1:3" x14ac:dyDescent="0.25">
      <c r="A25" s="35" t="s">
        <v>53</v>
      </c>
      <c r="B25" s="10">
        <v>1</v>
      </c>
      <c r="C25" s="15">
        <v>10</v>
      </c>
    </row>
    <row r="26" spans="1:3" x14ac:dyDescent="0.25">
      <c r="A26" s="35" t="s">
        <v>55</v>
      </c>
      <c r="B26" s="10">
        <v>1</v>
      </c>
      <c r="C26" s="15">
        <v>10</v>
      </c>
    </row>
    <row r="27" spans="1:3" x14ac:dyDescent="0.25">
      <c r="A27" s="35" t="s">
        <v>57</v>
      </c>
      <c r="B27" s="10">
        <v>1</v>
      </c>
      <c r="C27" s="15">
        <v>10</v>
      </c>
    </row>
    <row r="28" spans="1:3" x14ac:dyDescent="0.25">
      <c r="A28" s="35" t="s">
        <v>59</v>
      </c>
      <c r="B28" s="10">
        <v>1</v>
      </c>
      <c r="C28" s="15">
        <v>10</v>
      </c>
    </row>
    <row r="29" spans="1:3" x14ac:dyDescent="0.25">
      <c r="A29" s="35" t="s">
        <v>61</v>
      </c>
      <c r="B29" s="10">
        <v>1</v>
      </c>
      <c r="C29" s="15">
        <v>9</v>
      </c>
    </row>
    <row r="30" spans="1:3" x14ac:dyDescent="0.25">
      <c r="A30" s="35" t="s">
        <v>63</v>
      </c>
      <c r="B30" s="10">
        <v>1</v>
      </c>
      <c r="C30" s="15">
        <v>9</v>
      </c>
    </row>
    <row r="31" spans="1:3" x14ac:dyDescent="0.25">
      <c r="A31" s="35" t="s">
        <v>65</v>
      </c>
      <c r="B31" s="10">
        <v>1</v>
      </c>
      <c r="C31" s="15">
        <v>10</v>
      </c>
    </row>
    <row r="32" spans="1:3" x14ac:dyDescent="0.25">
      <c r="A32" s="35" t="s">
        <v>66</v>
      </c>
      <c r="B32" s="10">
        <v>1</v>
      </c>
      <c r="C32" s="15">
        <v>10</v>
      </c>
    </row>
    <row r="33" spans="1:3" x14ac:dyDescent="0.25">
      <c r="A33" s="35" t="s">
        <v>70</v>
      </c>
      <c r="B33" s="10">
        <v>1</v>
      </c>
      <c r="C33" s="15">
        <v>10</v>
      </c>
    </row>
    <row r="34" spans="1:3" x14ac:dyDescent="0.25">
      <c r="A34" s="35" t="s">
        <v>72</v>
      </c>
      <c r="B34" s="10">
        <v>1</v>
      </c>
      <c r="C34" s="15">
        <v>10</v>
      </c>
    </row>
    <row r="35" spans="1:3" x14ac:dyDescent="0.25">
      <c r="A35" s="35"/>
    </row>
    <row r="36" spans="1:3" x14ac:dyDescent="0.25">
      <c r="A36" s="35"/>
    </row>
    <row r="37" spans="1:3" x14ac:dyDescent="0.25">
      <c r="A37" s="35"/>
    </row>
    <row r="38" spans="1:3" x14ac:dyDescent="0.25">
      <c r="A38" s="35"/>
    </row>
    <row r="39" spans="1:3" x14ac:dyDescent="0.25">
      <c r="A39" s="36"/>
    </row>
    <row r="40" spans="1:3" x14ac:dyDescent="0.25">
      <c r="A40" s="36"/>
    </row>
    <row r="41" spans="1:3" x14ac:dyDescent="0.25">
      <c r="A41" s="36"/>
    </row>
    <row r="42" spans="1:3" x14ac:dyDescent="0.25">
      <c r="A42" s="35"/>
    </row>
    <row r="43" spans="1:3" x14ac:dyDescent="0.25">
      <c r="A43" s="35"/>
    </row>
    <row r="44" spans="1:3" x14ac:dyDescent="0.25">
      <c r="A44" s="35"/>
    </row>
    <row r="45" spans="1:3" x14ac:dyDescent="0.25">
      <c r="A45" s="35"/>
    </row>
    <row r="46" spans="1:3" x14ac:dyDescent="0.25">
      <c r="A46" s="35"/>
    </row>
    <row r="47" spans="1:3" x14ac:dyDescent="0.25">
      <c r="A47" s="35"/>
    </row>
    <row r="48" spans="1:3" x14ac:dyDescent="0.25">
      <c r="A48" s="35"/>
    </row>
    <row r="49" spans="1:3" ht="15.75" thickBot="1" x14ac:dyDescent="0.3">
      <c r="A49" s="37"/>
      <c r="B49" s="13"/>
    </row>
    <row r="50" spans="1:3" x14ac:dyDescent="0.25">
      <c r="C50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4B2E-5083-4E9F-958B-0DB790C91CD2}">
  <dimension ref="A1:D53"/>
  <sheetViews>
    <sheetView tabSelected="1" workbookViewId="0">
      <selection sqref="A1:A1048576"/>
    </sheetView>
  </sheetViews>
  <sheetFormatPr baseColWidth="10" defaultRowHeight="15" x14ac:dyDescent="0.25"/>
  <cols>
    <col min="1" max="1" width="17.42578125" style="38" bestFit="1" customWidth="1"/>
    <col min="2" max="2" width="9.140625" style="10" customWidth="1"/>
    <col min="3" max="3" width="8.28515625" style="15" bestFit="1" customWidth="1"/>
    <col min="4" max="4" width="5" style="15" customWidth="1"/>
  </cols>
  <sheetData>
    <row r="1" spans="1:3" x14ac:dyDescent="0.25">
      <c r="A1" s="34" t="s">
        <v>0</v>
      </c>
      <c r="B1" s="8" t="s">
        <v>107</v>
      </c>
      <c r="C1" s="33" t="s">
        <v>108</v>
      </c>
    </row>
    <row r="2" spans="1:3" x14ac:dyDescent="0.25">
      <c r="A2" s="35" t="s">
        <v>3</v>
      </c>
      <c r="B2" s="10">
        <v>10</v>
      </c>
      <c r="C2" s="15">
        <v>22</v>
      </c>
    </row>
    <row r="3" spans="1:3" x14ac:dyDescent="0.25">
      <c r="A3" s="35" t="s">
        <v>5</v>
      </c>
      <c r="B3" s="10">
        <v>10</v>
      </c>
      <c r="C3" s="15">
        <v>22</v>
      </c>
    </row>
    <row r="4" spans="1:3" x14ac:dyDescent="0.25">
      <c r="A4" s="35" t="s">
        <v>7</v>
      </c>
      <c r="B4" s="10">
        <v>10</v>
      </c>
      <c r="C4" s="15">
        <v>22</v>
      </c>
    </row>
    <row r="5" spans="1:3" x14ac:dyDescent="0.25">
      <c r="A5" s="35" t="s">
        <v>9</v>
      </c>
      <c r="B5" s="10">
        <v>10</v>
      </c>
      <c r="C5" s="15">
        <v>22</v>
      </c>
    </row>
    <row r="6" spans="1:3" x14ac:dyDescent="0.25">
      <c r="A6" s="35" t="s">
        <v>11</v>
      </c>
      <c r="B6" s="10">
        <v>10</v>
      </c>
      <c r="C6" s="15">
        <v>22</v>
      </c>
    </row>
    <row r="7" spans="1:3" x14ac:dyDescent="0.25">
      <c r="A7" s="35" t="s">
        <v>13</v>
      </c>
      <c r="B7" s="10">
        <v>10</v>
      </c>
      <c r="C7" s="15">
        <v>31</v>
      </c>
    </row>
    <row r="8" spans="1:3" x14ac:dyDescent="0.25">
      <c r="A8" s="35" t="s">
        <v>15</v>
      </c>
      <c r="B8" s="10">
        <v>5</v>
      </c>
      <c r="C8" s="15">
        <v>31</v>
      </c>
    </row>
    <row r="9" spans="1:3" x14ac:dyDescent="0.25">
      <c r="A9" s="35" t="s">
        <v>17</v>
      </c>
      <c r="B9" s="10">
        <v>5</v>
      </c>
      <c r="C9" s="15">
        <v>31</v>
      </c>
    </row>
    <row r="10" spans="1:3" x14ac:dyDescent="0.25">
      <c r="A10" s="35" t="s">
        <v>19</v>
      </c>
      <c r="B10" s="10">
        <v>10</v>
      </c>
      <c r="C10" s="15">
        <v>21</v>
      </c>
    </row>
    <row r="11" spans="1:3" x14ac:dyDescent="0.25">
      <c r="A11" s="35" t="s">
        <v>21</v>
      </c>
      <c r="B11" s="10">
        <v>10</v>
      </c>
      <c r="C11" s="15">
        <v>21</v>
      </c>
    </row>
    <row r="12" spans="1:3" x14ac:dyDescent="0.25">
      <c r="A12" s="35" t="s">
        <v>23</v>
      </c>
      <c r="B12" s="10">
        <v>10</v>
      </c>
      <c r="C12" s="15">
        <v>24</v>
      </c>
    </row>
    <row r="13" spans="1:3" x14ac:dyDescent="0.25">
      <c r="A13" s="35" t="s">
        <v>25</v>
      </c>
      <c r="B13" s="10">
        <v>10</v>
      </c>
      <c r="C13" s="15">
        <v>24</v>
      </c>
    </row>
    <row r="14" spans="1:3" x14ac:dyDescent="0.25">
      <c r="A14" s="35" t="s">
        <v>27</v>
      </c>
      <c r="B14" s="10">
        <v>10</v>
      </c>
      <c r="C14" s="15">
        <v>31</v>
      </c>
    </row>
    <row r="15" spans="1:3" x14ac:dyDescent="0.25">
      <c r="A15" s="35" t="s">
        <v>29</v>
      </c>
      <c r="B15" s="10">
        <v>10</v>
      </c>
      <c r="C15" s="15">
        <v>31</v>
      </c>
    </row>
    <row r="16" spans="1:3" x14ac:dyDescent="0.25">
      <c r="A16" s="35" t="s">
        <v>31</v>
      </c>
      <c r="B16" s="10">
        <v>10</v>
      </c>
      <c r="C16" s="15">
        <v>31</v>
      </c>
    </row>
    <row r="17" spans="1:3" x14ac:dyDescent="0.25">
      <c r="A17" s="35" t="s">
        <v>33</v>
      </c>
      <c r="B17" s="10">
        <v>5</v>
      </c>
      <c r="C17" s="15">
        <v>24</v>
      </c>
    </row>
    <row r="18" spans="1:3" x14ac:dyDescent="0.25">
      <c r="A18" s="35" t="s">
        <v>35</v>
      </c>
      <c r="B18" s="10">
        <v>5</v>
      </c>
      <c r="C18" s="15">
        <v>24</v>
      </c>
    </row>
    <row r="19" spans="1:3" x14ac:dyDescent="0.25">
      <c r="A19" s="35" t="s">
        <v>37</v>
      </c>
      <c r="B19" s="10">
        <v>10</v>
      </c>
      <c r="C19" s="15">
        <v>9</v>
      </c>
    </row>
    <row r="20" spans="1:3" x14ac:dyDescent="0.25">
      <c r="A20" s="35" t="s">
        <v>39</v>
      </c>
      <c r="B20" s="10">
        <v>10</v>
      </c>
      <c r="C20" s="15">
        <v>10</v>
      </c>
    </row>
    <row r="21" spans="1:3" x14ac:dyDescent="0.25">
      <c r="A21" s="35" t="s">
        <v>41</v>
      </c>
      <c r="B21" s="10">
        <v>10</v>
      </c>
      <c r="C21" s="15">
        <v>10</v>
      </c>
    </row>
    <row r="22" spans="1:3" x14ac:dyDescent="0.25">
      <c r="A22" s="35" t="s">
        <v>43</v>
      </c>
      <c r="B22" s="10">
        <v>10</v>
      </c>
      <c r="C22" s="15">
        <v>9</v>
      </c>
    </row>
    <row r="23" spans="1:3" x14ac:dyDescent="0.25">
      <c r="A23" s="35" t="s">
        <v>45</v>
      </c>
      <c r="B23" s="10">
        <v>10</v>
      </c>
      <c r="C23" s="15">
        <v>9</v>
      </c>
    </row>
    <row r="24" spans="1:3" x14ac:dyDescent="0.25">
      <c r="A24" s="35" t="s">
        <v>47</v>
      </c>
      <c r="B24" s="10">
        <v>10</v>
      </c>
      <c r="C24" s="15">
        <v>9</v>
      </c>
    </row>
    <row r="25" spans="1:3" x14ac:dyDescent="0.25">
      <c r="A25" s="35" t="s">
        <v>49</v>
      </c>
      <c r="B25" s="10">
        <v>5</v>
      </c>
      <c r="C25" s="15">
        <v>9</v>
      </c>
    </row>
    <row r="26" spans="1:3" x14ac:dyDescent="0.25">
      <c r="A26" s="35" t="s">
        <v>51</v>
      </c>
      <c r="B26" s="10">
        <v>5</v>
      </c>
      <c r="C26" s="15">
        <v>10</v>
      </c>
    </row>
    <row r="27" spans="1:3" x14ac:dyDescent="0.25">
      <c r="A27" s="35" t="s">
        <v>53</v>
      </c>
      <c r="B27" s="10">
        <v>5</v>
      </c>
      <c r="C27" s="15">
        <v>10</v>
      </c>
    </row>
    <row r="28" spans="1:3" x14ac:dyDescent="0.25">
      <c r="A28" s="35" t="s">
        <v>55</v>
      </c>
      <c r="B28" s="10">
        <v>5</v>
      </c>
      <c r="C28" s="15">
        <v>10</v>
      </c>
    </row>
    <row r="29" spans="1:3" x14ac:dyDescent="0.25">
      <c r="A29" s="35" t="s">
        <v>57</v>
      </c>
      <c r="B29" s="10">
        <v>5</v>
      </c>
      <c r="C29" s="15">
        <v>10</v>
      </c>
    </row>
    <row r="30" spans="1:3" x14ac:dyDescent="0.25">
      <c r="A30" s="35" t="s">
        <v>59</v>
      </c>
      <c r="B30" s="10">
        <v>5</v>
      </c>
      <c r="C30" s="15">
        <v>10</v>
      </c>
    </row>
    <row r="31" spans="1:3" x14ac:dyDescent="0.25">
      <c r="A31" s="35" t="s">
        <v>61</v>
      </c>
      <c r="B31" s="10">
        <v>10</v>
      </c>
      <c r="C31" s="15">
        <v>9</v>
      </c>
    </row>
    <row r="32" spans="1:3" x14ac:dyDescent="0.25">
      <c r="A32" s="35" t="s">
        <v>63</v>
      </c>
      <c r="B32" s="10">
        <v>10</v>
      </c>
      <c r="C32" s="15">
        <v>9</v>
      </c>
    </row>
    <row r="33" spans="1:3" x14ac:dyDescent="0.25">
      <c r="A33" s="35" t="s">
        <v>65</v>
      </c>
      <c r="B33" s="10">
        <v>10</v>
      </c>
      <c r="C33" s="15">
        <v>10</v>
      </c>
    </row>
    <row r="34" spans="1:3" x14ac:dyDescent="0.25">
      <c r="A34" s="35" t="s">
        <v>66</v>
      </c>
      <c r="B34" s="10">
        <v>5</v>
      </c>
      <c r="C34" s="15">
        <v>10</v>
      </c>
    </row>
    <row r="35" spans="1:3" x14ac:dyDescent="0.25">
      <c r="A35" s="35" t="s">
        <v>68</v>
      </c>
      <c r="B35" s="10">
        <v>10</v>
      </c>
      <c r="C35" s="15">
        <v>10</v>
      </c>
    </row>
    <row r="36" spans="1:3" x14ac:dyDescent="0.25">
      <c r="A36" s="35" t="s">
        <v>70</v>
      </c>
      <c r="B36" s="10">
        <v>5</v>
      </c>
      <c r="C36" s="15">
        <v>10</v>
      </c>
    </row>
    <row r="37" spans="1:3" x14ac:dyDescent="0.25">
      <c r="A37" s="35" t="s">
        <v>72</v>
      </c>
      <c r="B37" s="10">
        <v>5</v>
      </c>
      <c r="C37" s="15">
        <v>10</v>
      </c>
    </row>
    <row r="38" spans="1:3" x14ac:dyDescent="0.25">
      <c r="A38" s="35" t="s">
        <v>74</v>
      </c>
      <c r="B38" s="10">
        <v>6</v>
      </c>
      <c r="C38" s="15">
        <v>10</v>
      </c>
    </row>
    <row r="39" spans="1:3" x14ac:dyDescent="0.25">
      <c r="A39" s="35" t="s">
        <v>76</v>
      </c>
      <c r="B39" s="10">
        <v>10</v>
      </c>
      <c r="C39" s="15">
        <v>10</v>
      </c>
    </row>
    <row r="40" spans="1:3" x14ac:dyDescent="0.25">
      <c r="A40" s="35" t="s">
        <v>78</v>
      </c>
      <c r="B40" s="10">
        <v>10</v>
      </c>
      <c r="C40" s="15">
        <v>10</v>
      </c>
    </row>
    <row r="41" spans="1:3" x14ac:dyDescent="0.25">
      <c r="A41" s="35" t="s">
        <v>79</v>
      </c>
      <c r="B41" s="10">
        <v>10</v>
      </c>
      <c r="C41" s="15">
        <v>10</v>
      </c>
    </row>
    <row r="42" spans="1:3" x14ac:dyDescent="0.25">
      <c r="A42" s="36" t="s">
        <v>81</v>
      </c>
      <c r="B42" s="10">
        <v>10</v>
      </c>
      <c r="C42" s="15">
        <v>10</v>
      </c>
    </row>
    <row r="43" spans="1:3" x14ac:dyDescent="0.25">
      <c r="A43" s="36" t="s">
        <v>83</v>
      </c>
      <c r="B43" s="10">
        <v>10</v>
      </c>
      <c r="C43" s="15">
        <v>10</v>
      </c>
    </row>
    <row r="44" spans="1:3" x14ac:dyDescent="0.25">
      <c r="A44" s="36" t="s">
        <v>85</v>
      </c>
      <c r="B44" s="10">
        <v>10</v>
      </c>
      <c r="C44" s="15">
        <v>10</v>
      </c>
    </row>
    <row r="45" spans="1:3" x14ac:dyDescent="0.25">
      <c r="A45" s="35" t="s">
        <v>86</v>
      </c>
      <c r="B45" s="10">
        <v>10</v>
      </c>
      <c r="C45" s="15">
        <v>10</v>
      </c>
    </row>
    <row r="46" spans="1:3" x14ac:dyDescent="0.25">
      <c r="A46" s="35" t="s">
        <v>88</v>
      </c>
      <c r="B46" s="10">
        <v>10</v>
      </c>
      <c r="C46" s="15">
        <v>10</v>
      </c>
    </row>
    <row r="47" spans="1:3" x14ac:dyDescent="0.25">
      <c r="A47" s="35" t="s">
        <v>90</v>
      </c>
      <c r="B47" s="10">
        <v>1</v>
      </c>
      <c r="C47" s="15">
        <v>10</v>
      </c>
    </row>
    <row r="48" spans="1:3" x14ac:dyDescent="0.25">
      <c r="A48" s="35" t="s">
        <v>92</v>
      </c>
      <c r="B48" s="10">
        <v>10</v>
      </c>
      <c r="C48" s="15">
        <v>10</v>
      </c>
    </row>
    <row r="49" spans="1:3" x14ac:dyDescent="0.25">
      <c r="A49" s="35" t="s">
        <v>94</v>
      </c>
      <c r="B49" s="10">
        <v>10</v>
      </c>
      <c r="C49" s="15">
        <v>10</v>
      </c>
    </row>
    <row r="50" spans="1:3" x14ac:dyDescent="0.25">
      <c r="A50" s="35" t="s">
        <v>96</v>
      </c>
      <c r="B50" s="10">
        <v>10</v>
      </c>
      <c r="C50" s="15">
        <v>10</v>
      </c>
    </row>
    <row r="51" spans="1:3" x14ac:dyDescent="0.25">
      <c r="A51" s="35" t="s">
        <v>98</v>
      </c>
      <c r="B51" s="10">
        <v>10</v>
      </c>
      <c r="C51" s="15">
        <v>10</v>
      </c>
    </row>
    <row r="52" spans="1:3" ht="15.75" thickBot="1" x14ac:dyDescent="0.3">
      <c r="A52" s="37" t="s">
        <v>100</v>
      </c>
      <c r="B52" s="13">
        <v>10</v>
      </c>
      <c r="C52" s="15">
        <v>10</v>
      </c>
    </row>
    <row r="53" spans="1:3" x14ac:dyDescent="0.25">
      <c r="C5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MASTER</vt:lpstr>
      <vt:lpstr>ABC1</vt:lpstr>
      <vt:lpstr>ABC2</vt:lpstr>
      <vt:lpstr>ABC3</vt:lpstr>
      <vt:lpstr>PGP</vt:lpstr>
      <vt:lpstr>CENTRAL</vt:lpstr>
      <vt:lpstr>PRENSAS</vt:lpstr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User</cp:lastModifiedBy>
  <dcterms:created xsi:type="dcterms:W3CDTF">2019-03-13T17:37:04Z</dcterms:created>
  <dcterms:modified xsi:type="dcterms:W3CDTF">2024-05-23T16:56:48Z</dcterms:modified>
</cp:coreProperties>
</file>