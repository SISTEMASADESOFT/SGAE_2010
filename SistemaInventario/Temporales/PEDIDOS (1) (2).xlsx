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1B6040E-8AEB-449B-A0CB-04CBEE2DA087}" xr6:coauthVersionLast="47" xr6:coauthVersionMax="47" xr10:uidLastSave="{00000000-0000-0000-0000-000000000000}"/>
  <bookViews>
    <workbookView xWindow="20370" yWindow="-2190" windowWidth="21840" windowHeight="13140" xr2:uid="{00000000-000D-0000-FFFF-FFFF00000000}"/>
  </bookViews>
  <sheets>
    <sheet name="IMPORTACION" sheetId="2" r:id="rId1"/>
    <sheet name="ABC" sheetId="3" r:id="rId2"/>
    <sheet name="PGP" sheetId="4" r:id="rId3"/>
    <sheet name="JAPAN" sheetId="5" r:id="rId4"/>
    <sheet name="CENTRAL" sheetId="6" r:id="rId5"/>
    <sheet name="Hoja6" sheetId="8" state="hidden" r:id="rId6"/>
    <sheet name="CARLOS" sheetId="7" state="hidden" r:id="rId7"/>
  </sheets>
  <definedNames>
    <definedName name="_xlnm._FilterDatabase" localSheetId="1" hidden="1">ABC!$B$1:$B$127</definedName>
    <definedName name="_xlnm._FilterDatabase" localSheetId="4" hidden="1">CENTRAL!$B$1:$B$3</definedName>
    <definedName name="_xlnm._FilterDatabase" localSheetId="3" hidden="1">JAPAN!$B$1:$B$80</definedName>
    <definedName name="_xlnm._FilterDatabase" localSheetId="2" hidden="1">PGP!$B$1:$B$69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0" i="4" l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2" i="4"/>
  <c r="I140" i="8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3" i="8"/>
  <c r="I2" i="8"/>
</calcChain>
</file>

<file path=xl/sharedStrings.xml><?xml version="1.0" encoding="utf-8"?>
<sst xmlns="http://schemas.openxmlformats.org/spreadsheetml/2006/main" count="726" uniqueCount="291">
  <si>
    <t>CODIGO</t>
  </si>
  <si>
    <t>DESCRIPCION</t>
  </si>
  <si>
    <t>CANTIDAD</t>
  </si>
  <si>
    <t>0022646</t>
  </si>
  <si>
    <t>CAMISETA MAHI SCORPIO 2.5 GENUINE UNI</t>
  </si>
  <si>
    <t>0302BAM00380N</t>
  </si>
  <si>
    <t>CULATA SOLO MAHI SCORPIO 2.2 GENUINE</t>
  </si>
  <si>
    <t>0302BM0021N</t>
  </si>
  <si>
    <t>GUIAS DE VALV MAHINDRA SCORPIO 2.2 2.5 GEN UNI</t>
  </si>
  <si>
    <t>0304AAM00451N</t>
  </si>
  <si>
    <t>RADIADOR MAHINDRA SCORPIO 2.2 GENUINE</t>
  </si>
  <si>
    <t>0304DAM01290N</t>
  </si>
  <si>
    <t>BRIDA DE TERMOSTATO MAHINDRA XUV 500 2.2 GENUINE</t>
  </si>
  <si>
    <t>0304EC0390N</t>
  </si>
  <si>
    <t>BOMBA DE AGUA MAHINDRA SCORPIO 2.5 GENUINE</t>
  </si>
  <si>
    <t>0304EM0050N</t>
  </si>
  <si>
    <t>BOMBA DE AGUA MAHINDRA SCORPIO 2.2 GENUINE</t>
  </si>
  <si>
    <t>0306GM0061N</t>
  </si>
  <si>
    <t>FAJA DE MULT MAHINDRA SCORPIO 2.2 11+ 4PK1171 GENUINE</t>
  </si>
  <si>
    <t>0306GM0141A</t>
  </si>
  <si>
    <t>FAJA DE BOMBA DE AGUA MAH SCORPIO 2.2 11+ 4PK1115 GENUINE</t>
  </si>
  <si>
    <t>0306JM0041N</t>
  </si>
  <si>
    <t>TEMP FAJA MULT MAHINDRA SCORPIO 2.2 GENUINE</t>
  </si>
  <si>
    <t>0310AM0130N</t>
  </si>
  <si>
    <t>EJE DE LEVAS ADM MAHINDRA 2.2 GENUINE</t>
  </si>
  <si>
    <t>0310BM0140N</t>
  </si>
  <si>
    <t>BALANCIN Y BUZO MAHINDRA SCORPIO 2.2 2.5 GENUINE</t>
  </si>
  <si>
    <t>0311AM0070N</t>
  </si>
  <si>
    <t>EMPAQUE DE MOTOR MAHINDRA SCORPIO 2.2 GENUINE</t>
  </si>
  <si>
    <t>0311DM0040N</t>
  </si>
  <si>
    <t>BOMBA DE ACEITE MAHINDRA SCORPIO 2.2 GENUINE</t>
  </si>
  <si>
    <t>0312AC0200N</t>
  </si>
  <si>
    <t>CIGÜEÑAL STD MAHINDRA SCORPIO 2.5 GENUINE</t>
  </si>
  <si>
    <t>0312AM0120N</t>
  </si>
  <si>
    <t>SEPARADOR STD MAHI SCORPIO 2.2 2.5 GENUINE</t>
  </si>
  <si>
    <t>0312BM0282N</t>
  </si>
  <si>
    <t>BOCINA DE BIELA MAHI SCORPIO 2.2 GENUINE UNI</t>
  </si>
  <si>
    <t>0312BM0530N</t>
  </si>
  <si>
    <t>ANILLOS STD MAHINDRA SCORPIO 2.2 85MM GENUINE</t>
  </si>
  <si>
    <t>0312CM0120N</t>
  </si>
  <si>
    <t>CREMALLERA DE VOL MAHI SCORPIO 2.2 GEN 114T GENUINE</t>
  </si>
  <si>
    <t>0501AA0090N</t>
  </si>
  <si>
    <t xml:space="preserve"> CARDAN DELANT MAHINDRA SCORPIO 2.2 2.5 GENUINE</t>
  </si>
  <si>
    <t>0501CA0020N</t>
  </si>
  <si>
    <t>CRUZETA DE CARDAN MAHINDRA SCORPIO 2.2 GENUINE</t>
  </si>
  <si>
    <t>0602BB0710N</t>
  </si>
  <si>
    <t>ZAPATA DE FRENO MAHINDRA SCORPIO 2.2 2.5 GENUINE</t>
  </si>
  <si>
    <t>0801BA0841N</t>
  </si>
  <si>
    <t>DISCO DE EMB MAHINDRA SCORPIO 2.2 GENUINE</t>
  </si>
  <si>
    <t>0801CA0341N</t>
  </si>
  <si>
    <t>PLATO DE EMB MAHINDRA SCORPIO 2.2 GENUINE</t>
  </si>
  <si>
    <t>0801CAA01051N</t>
  </si>
  <si>
    <t xml:space="preserve"> KIT DE EMB P/D MAHINDRA XUV 500 2,2 GENUINE</t>
  </si>
  <si>
    <t>0802CA0110N</t>
  </si>
  <si>
    <t>BOMBA DE EMB MAHI SCORPIO 2.2 2.5  GENUINE</t>
  </si>
  <si>
    <t>0802CAA03740N</t>
  </si>
  <si>
    <t>COLLARIN DE EMB MAHI SCORPIO 2.5 GENUINE</t>
  </si>
  <si>
    <t>0802CAA04190N</t>
  </si>
  <si>
    <t>COLLARIN HIDR MAHI SCORPIO 2.2 3PER GENUINE</t>
  </si>
  <si>
    <t>0802CAA05231N</t>
  </si>
  <si>
    <t>COLLARIN HIDRA MAHINDRA XUV500 2.2 GENUINE</t>
  </si>
  <si>
    <t>0802CAA05771N</t>
  </si>
  <si>
    <t>PURGADOR DE COLLARIN MAHINDRA 2.2 GENUINE</t>
  </si>
  <si>
    <t>0802CAA06541N</t>
  </si>
  <si>
    <t>COLLARIN HIDRA MAHINDRA SCORPIO 2.2 GEN 2 PERNOS</t>
  </si>
  <si>
    <t>1102AA0720N</t>
  </si>
  <si>
    <t>TERMINAL EXT MAHINDRA 2.2 2.5 GENUINE</t>
  </si>
  <si>
    <t>20910-05M01</t>
  </si>
  <si>
    <t>EMPAQUE DE MOTOR EON G3HA GENUINE</t>
  </si>
  <si>
    <t>21310-05000</t>
  </si>
  <si>
    <t>BOMBA DE ACEITE  EON I10 G4HG HA GENUINE</t>
  </si>
  <si>
    <t>21350-03051</t>
  </si>
  <si>
    <t>TAPA DE DIST RIO G4LA 1.2 GENUINE</t>
  </si>
  <si>
    <t>21810-1V000</t>
  </si>
  <si>
    <t>SOPORTE HIDR DER ACC RIO PIC I20 GENUINE</t>
  </si>
  <si>
    <t>21810-A0000</t>
  </si>
  <si>
    <t>SOPORTE HIDR DER CRETA 19+ GENUINE</t>
  </si>
  <si>
    <t>21830-C7000</t>
  </si>
  <si>
    <t>SOPORTE DE MOTOR IZQ I20 14+ GENUINE</t>
  </si>
  <si>
    <t>22100-05000</t>
  </si>
  <si>
    <t>CULATA EON G3HA GENUINE</t>
  </si>
  <si>
    <t>22211-02220</t>
  </si>
  <si>
    <t>VALVULA ADM PIC EON G4HG GENUINES UNI</t>
  </si>
  <si>
    <t>22212-02210</t>
  </si>
  <si>
    <t>VALVULA ESC PIC EON G4HG GEUNINE UNI</t>
  </si>
  <si>
    <t>22311-02780</t>
  </si>
  <si>
    <t>EMPAQUE DE CULATA ATOZ 20+ GENUINE</t>
  </si>
  <si>
    <t>22311-05001</t>
  </si>
  <si>
    <t>EMPAQUE DE CULATA EON G3HA GENUINE</t>
  </si>
  <si>
    <t>22410-03070</t>
  </si>
  <si>
    <t>TAPA DE BAL GRAND I10 I20 G4LA GENUINE</t>
  </si>
  <si>
    <t>22410-2M010</t>
  </si>
  <si>
    <t>TAPA DE BALANCIN CRETA 18+ GENUINE</t>
  </si>
  <si>
    <t>22441-05000</t>
  </si>
  <si>
    <t>EMP DE BALANCIN  EON G3HG GENUINE</t>
  </si>
  <si>
    <t>22441-2M010</t>
  </si>
  <si>
    <t>EMP DE BAL NEW CRETA G4FL 18+ GENUINE</t>
  </si>
  <si>
    <t>24100-03051</t>
  </si>
  <si>
    <t>EJE DE LEVAS ADM G4LA LC 24100-03052 GENUINE</t>
  </si>
  <si>
    <t>24100-2M020</t>
  </si>
  <si>
    <t>EJE DE LEVAS ADM CRETA 18+ GENUINE</t>
  </si>
  <si>
    <t>24200-03050</t>
  </si>
  <si>
    <t>EJE DE LEVAS ESC ACC G4LA LC GENUINE</t>
  </si>
  <si>
    <t>24200-2M020</t>
  </si>
  <si>
    <t>EJE DE LEVAS ESC CRETA 18+ GENUINE</t>
  </si>
  <si>
    <t>24321-03000</t>
  </si>
  <si>
    <t>CADENA DE DIST RIO I10 PIC G4LA 1.2 GENUINE 160E</t>
  </si>
  <si>
    <t>24350-2M010</t>
  </si>
  <si>
    <t>PIÑON DE LEVAS ADM CRETA 18+ GENUINE</t>
  </si>
  <si>
    <t>24370-2M010</t>
  </si>
  <si>
    <t>PIÑON DE LEVAS ESC CRETA 18+ GENUINE</t>
  </si>
  <si>
    <t>24410-03000</t>
  </si>
  <si>
    <t>TEMPLADOR HIDR ACC RIO PIC G4LA LC 1.2 GENUINE</t>
  </si>
  <si>
    <t>24420-03010</t>
  </si>
  <si>
    <t>GUIA DE CADENA RIO PIC 1.2 G4LA GENUINE</t>
  </si>
  <si>
    <t>24431-03010</t>
  </si>
  <si>
    <t>GUIA DE CADENA RECTO ACC PIC G4LA 1.2 GENUINE</t>
  </si>
  <si>
    <t>24432-03000</t>
  </si>
  <si>
    <t>GUIA DE CADENA SUP RIO G4LA 2014+ 1.2 GENUINE</t>
  </si>
  <si>
    <t>24433-03001</t>
  </si>
  <si>
    <t>GUIA DE CADENA RIO 1.2 G4LA GENUINE</t>
  </si>
  <si>
    <t>25310-0U000</t>
  </si>
  <si>
    <t>RADIADOR ACC RIO GRAND I10 VERNA 15+ MEC GENUINE</t>
  </si>
  <si>
    <t>25310-Q6050</t>
  </si>
  <si>
    <t>RADIADOR NEW CRETA G4FL GENUINE</t>
  </si>
  <si>
    <t>25327-C7000</t>
  </si>
  <si>
    <t>BRIDA Y MANG DE RAD I20 17+ GENUINE</t>
  </si>
  <si>
    <t>25329-C9000</t>
  </si>
  <si>
    <t>ACOPLE DE RAD CRETA GENUINE</t>
  </si>
  <si>
    <t>25380-K6100</t>
  </si>
  <si>
    <t>VENTILADOR GRAND I10 18+ GENUINE</t>
  </si>
  <si>
    <t>25411-4N000</t>
  </si>
  <si>
    <t>MANGUERA DE RAD SUP EON GENUINE</t>
  </si>
  <si>
    <t>25411-C7050</t>
  </si>
  <si>
    <t>MANGUERA DE RAD SUP I20 17+ GENUINE</t>
  </si>
  <si>
    <t>25411-C9050</t>
  </si>
  <si>
    <t>MANGUERA DE RAD SUP CRETA GENUINE</t>
  </si>
  <si>
    <t>25412-4N000</t>
  </si>
  <si>
    <t>MANGUERA DE RAD INF EON GENUINE</t>
  </si>
  <si>
    <t>25414-BV100</t>
  </si>
  <si>
    <t>MANGUERA DE RAD SUP NEW CRETA GENUINE</t>
  </si>
  <si>
    <t>25415-BV100</t>
  </si>
  <si>
    <t>MANGUERA INF NEW CRETA 18+ GENUINE</t>
  </si>
  <si>
    <t>25430-C4000</t>
  </si>
  <si>
    <t>DEPOSITO DE AGUA ATOZ 20+ GENUINE</t>
  </si>
  <si>
    <t>25450-03002</t>
  </si>
  <si>
    <t>TUBO DE AGUA RIO G4LA GENUINE</t>
  </si>
  <si>
    <t>25450-04001</t>
  </si>
  <si>
    <t>TUBO DE AGUA PIC I10 G3LA GENUINE</t>
  </si>
  <si>
    <t>25500-02800</t>
  </si>
  <si>
    <t>TERMOSTATO EON PIC I10 G4HG GENUINE</t>
  </si>
  <si>
    <t>25622-05010</t>
  </si>
  <si>
    <t>TUBO DE AGUA EON 1.1 G3HG GENUINE</t>
  </si>
  <si>
    <t>25630-03010</t>
  </si>
  <si>
    <t>BRIDA DE TERMOS RIO G4LA 1.2 GRAN I10 GENUINE</t>
  </si>
  <si>
    <t>25630-03100</t>
  </si>
  <si>
    <t>BRIDA DE AGUA ACC GRAND I10 G4LC-G4LA GENUINE</t>
  </si>
  <si>
    <t>25631-2B001</t>
  </si>
  <si>
    <t>BRIDA DE AGUA RIO G4LA 1.2 GRAN I10 03011 GENUINE</t>
  </si>
  <si>
    <t>26300-02752</t>
  </si>
  <si>
    <t>FILTRO DE ACEITE PIC ACC EON GENUINE</t>
  </si>
  <si>
    <t>26740-03000</t>
  </si>
  <si>
    <t>VALVULA PCV KIA PIC GENUINE</t>
  </si>
  <si>
    <t>27301-02800</t>
  </si>
  <si>
    <t>BOBINA I10 1.1 G4HG GENUINE</t>
  </si>
  <si>
    <t>27301-03035</t>
  </si>
  <si>
    <t>BOBINA RIO ACC G4LA GENUINE</t>
  </si>
  <si>
    <t>27420-05000</t>
  </si>
  <si>
    <t>CABLE DE BUJIA N1 EON GENUINE</t>
  </si>
  <si>
    <t>27430-05000</t>
  </si>
  <si>
    <t>CABLE DE BUJIA N2 EON GENUINE</t>
  </si>
  <si>
    <t>27440-05000</t>
  </si>
  <si>
    <t>CABLE DE BUJIA N3 EON GENUINE</t>
  </si>
  <si>
    <t>28113-4N000</t>
  </si>
  <si>
    <t>FILTRO DE AIRE EON GENUINE</t>
  </si>
  <si>
    <t>28113-A0100</t>
  </si>
  <si>
    <t>FILTRO DE AIRE NEW CRETA 20+ GENUINE</t>
  </si>
  <si>
    <t>28113-C4200</t>
  </si>
  <si>
    <t>FILTRO DE AIRE ATOZ 20+ GENUINE</t>
  </si>
  <si>
    <t>28113-C7000</t>
  </si>
  <si>
    <t>FILTRO DE AIRE I20 GENUINE</t>
  </si>
  <si>
    <t>31110-B4000</t>
  </si>
  <si>
    <t>BOMBA DE GASOLINA GRAN I10 G4LA GENUINE</t>
  </si>
  <si>
    <t>31110-C7000</t>
  </si>
  <si>
    <t>BOMBA DE GASOLINA I20 G4LC GENUINE</t>
  </si>
  <si>
    <t>35150-02800</t>
  </si>
  <si>
    <t>SENSOR DE MINIMO I10 G4HG GENUINE</t>
  </si>
  <si>
    <t>36100-05000</t>
  </si>
  <si>
    <t>ARRANCADOR EON G3HG GENUINE</t>
  </si>
  <si>
    <t>39210-2B310</t>
  </si>
  <si>
    <t>SENSOR DE OXIGENO ELA H-1 G4KG GENUINE</t>
  </si>
  <si>
    <t>41100-02845</t>
  </si>
  <si>
    <t>DISCO EMB PIC G4LA 18+ GENUINE</t>
  </si>
  <si>
    <t>41100-02857</t>
  </si>
  <si>
    <t>DISCO DE EMB RIO PIC G4LA GENUINE</t>
  </si>
  <si>
    <t>41100-26350</t>
  </si>
  <si>
    <t>DISCO DE EMB CRETA 15+ GENUINE</t>
  </si>
  <si>
    <t>41300-02710</t>
  </si>
  <si>
    <t>PLATO DE EMB RIO I20 G4LA GENUINE</t>
  </si>
  <si>
    <t>41300-02825</t>
  </si>
  <si>
    <t>PLATO DE EMB PIC 18+ GENUINE</t>
  </si>
  <si>
    <t>41300-02857</t>
  </si>
  <si>
    <t>PLATO DE EMB RIO PIC G4LA GENUINE</t>
  </si>
  <si>
    <t>41300-26350</t>
  </si>
  <si>
    <t>PLATO DE EMB CRETA G4FG HDC-151 GENUINE</t>
  </si>
  <si>
    <t>41430-02580</t>
  </si>
  <si>
    <t>CONJUNTO DE HORQ DE EMB GRAN I10 G4LA 15+ GENUINE</t>
  </si>
  <si>
    <t>41710-02200</t>
  </si>
  <si>
    <t>BOMBIN DE EMB RIO PIC G4LA GENUINE</t>
  </si>
  <si>
    <t>43794-4N100</t>
  </si>
  <si>
    <t>CABLE DE CAMBIO EON GENUINE</t>
  </si>
  <si>
    <t>43794-C4900</t>
  </si>
  <si>
    <t>CABLE DE CAMBIO GRAN I10 20+ GENUINE</t>
  </si>
  <si>
    <t>43794-C7100</t>
  </si>
  <si>
    <t>CABLE DE CAMBIO I20 G4LC GENUINE</t>
  </si>
  <si>
    <t>51720-02000</t>
  </si>
  <si>
    <t>RODAJE DEL ACC RIO 38X70X37 G4EE GENUINE</t>
  </si>
  <si>
    <t>55130-4D000</t>
  </si>
  <si>
    <t>BOCINA DE TRAPECIO POST SANTA FE GENUINE</t>
  </si>
  <si>
    <t>55307-K6100</t>
  </si>
  <si>
    <t>AMORTIGUADOR POST GRAND I10 20+ GENUINE</t>
  </si>
  <si>
    <t>56540-BV000</t>
  </si>
  <si>
    <t>TERMINAL INT CRETA 18+ GENUINE</t>
  </si>
  <si>
    <t>56820-BV000</t>
  </si>
  <si>
    <t>TERMINAL EXT IZQ  CRETA 18+ GENUINE</t>
  </si>
  <si>
    <t>56825-BV000</t>
  </si>
  <si>
    <t>TERMINAL EXT DER CRETA 18+ GENUINE</t>
  </si>
  <si>
    <t>58101-A0A00</t>
  </si>
  <si>
    <t>P/F DEL CRETA 18+ GENUINE</t>
  </si>
  <si>
    <t>58101-B4A05</t>
  </si>
  <si>
    <t>P/F DEL GRAND I10 20+ GENUINE</t>
  </si>
  <si>
    <t>58101-C7A00</t>
  </si>
  <si>
    <t>P/F DEL I20 17+ GENUINE</t>
  </si>
  <si>
    <t>58305-B4A70</t>
  </si>
  <si>
    <t>ZAPATA DE FRENO I10 I20 16+ GENUINE</t>
  </si>
  <si>
    <t>58305-C7A00</t>
  </si>
  <si>
    <t>ZAPATA DE FRENO I20 16+ GENUINE</t>
  </si>
  <si>
    <t>58350-A0A00</t>
  </si>
  <si>
    <t>ZAPATA DE FRENO CRETA 15+ GENUINE</t>
  </si>
  <si>
    <t>58350-C4A00</t>
  </si>
  <si>
    <t>ZAPATA DE FRENO ATOZ 20+ GENUINE</t>
  </si>
  <si>
    <t>58350-K6A00</t>
  </si>
  <si>
    <t>ZAPATA DE FRENO GRAND I10 21+ GENUINE</t>
  </si>
  <si>
    <t>58510-4N000</t>
  </si>
  <si>
    <t>BOMBA DE FRENO EON GENUINE</t>
  </si>
  <si>
    <t>59760-B4000</t>
  </si>
  <si>
    <t>CABLE DE FRENO IZQ GRAN I10 GENUINE</t>
  </si>
  <si>
    <t>59770-B4000</t>
  </si>
  <si>
    <t>CABLE DE FRENO DER GRAN I10 GENUINE</t>
  </si>
  <si>
    <t>93490-B4100</t>
  </si>
  <si>
    <t>CINTA DE TIMON GRAND I10 GENUINE</t>
  </si>
  <si>
    <t>93490-C7200</t>
  </si>
  <si>
    <t>CINTA DE TIMON CRETA 16+ GENUINE</t>
  </si>
  <si>
    <t>20910-05M01-JC</t>
  </si>
  <si>
    <t>EMPAQUE DE MOTOR EON G3HA MET JCBL INDIA</t>
  </si>
  <si>
    <t>25327-C7000-JC</t>
  </si>
  <si>
    <t>BRIDA Y MANG DE RAD I20 17+ JCBL INDIA</t>
  </si>
  <si>
    <t>25622-05010-JC</t>
  </si>
  <si>
    <t>TUBO DE AGUA EON 1.1 G3HG JCBL INDIA</t>
  </si>
  <si>
    <t>25630-03010-JC</t>
  </si>
  <si>
    <t>BRIDA DE TERMOS RIO G4LA 1.2 GRAN I10 JCBL INDIA</t>
  </si>
  <si>
    <t>25630-03100-JC</t>
  </si>
  <si>
    <t>BRIDA DE AGUA ACC GRAND I10 G4LC-G4LA JCBL INDIA</t>
  </si>
  <si>
    <t>25631-2B001-K</t>
  </si>
  <si>
    <t>BRIDA DE AGUA RIO G4LA 1.2 GRAN I10 03011 ACKOR</t>
  </si>
  <si>
    <t>28113-A0100-JC</t>
  </si>
  <si>
    <t>FILTRO DE AIRE CRETA 18+ JCBL INDIA</t>
  </si>
  <si>
    <t>28113-C4200-JC</t>
  </si>
  <si>
    <t>FILTRO DE AIRE ATOZ 20+ JCBL INDIA</t>
  </si>
  <si>
    <t>28113-C7000-JC</t>
  </si>
  <si>
    <t>FILTRO DE AIRE I20 JCBL INDIA</t>
  </si>
  <si>
    <t>41510-0X000-JC</t>
  </si>
  <si>
    <t>CABLE DE EMB PIC I10 G4HG JCBL INDIA</t>
  </si>
  <si>
    <t>41710-02200-JC</t>
  </si>
  <si>
    <t>BOMBIN DE EMB RIO PIC G4LA JCBL INDIA</t>
  </si>
  <si>
    <t>43794-C4900-JC</t>
  </si>
  <si>
    <t>CABLE DE CAMBIO GRAN I10 20+ JCBL INDIA</t>
  </si>
  <si>
    <t>43794-C7100-JC</t>
  </si>
  <si>
    <t>CABLE DE CAMBIO I20 G4LC JCBL INDIA</t>
  </si>
  <si>
    <t>23265-M79F80</t>
  </si>
  <si>
    <t>COLLARIN DE EMB MARUTI CELERIO BALENO JCBL</t>
  </si>
  <si>
    <t xml:space="preserve">ARA </t>
  </si>
  <si>
    <t>ABC</t>
  </si>
  <si>
    <t>PGP</t>
  </si>
  <si>
    <t>CENTRAL</t>
  </si>
  <si>
    <t>TOTAL</t>
  </si>
  <si>
    <t>K JAPAN</t>
  </si>
  <si>
    <t>COSTO</t>
  </si>
  <si>
    <t>P KIST</t>
  </si>
  <si>
    <t>LLEGÒ</t>
  </si>
  <si>
    <t>OTRO 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</si>
</sst>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 * #,##0.00_ ;_ * \-#,##0.00_ ;_ * &quot;-&quot;??_ ;_ @_ "/>
    <numFmt numFmtId="165" formatCode="0.00_);[Red]\(0.00\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scheme val="minor"/>
    </font>
    <font>
      <b/>
      <sz val="9"/>
      <name val="Tahoma"/>
      <family val="2"/>
    </font>
    <font>
      <sz val="11"/>
      <name val="돋움"/>
      <family val="3"/>
    </font>
    <font>
      <sz val="10"/>
      <name val="돋움"/>
      <family val="3"/>
    </font>
    <font>
      <b/>
      <sz val="11"/>
      <color theme="1"/>
      <name val="Calibri"/>
      <family val="2"/>
      <scheme val="minor"/>
    </font>
    <font>
      <b/>
      <sz val="11"/>
      <color theme="1"/>
      <name val="Tahoma"/>
      <family val="2"/>
    </font>
    <font>
      <b/>
      <u/>
      <sz val="11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41" fontId="4" fillId="0" borderId="0"/>
    <xf numFmtId="41" fontId="2" fillId="0" borderId="0">
      <alignment vertical="center"/>
    </xf>
    <xf numFmtId="0" fontId="2" fillId="0" borderId="0"/>
    <xf numFmtId="0" fontId="1" fillId="0" borderId="0"/>
    <xf numFmtId="0" fontId="5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0" fontId="3" fillId="2" borderId="1" xfId="3" applyFont="1" applyFill="1" applyBorder="1" applyAlignment="1">
      <alignment horizontal="center" vertical="center" shrinkToFit="1"/>
    </xf>
    <xf numFmtId="0" fontId="3" fillId="2" borderId="3" xfId="5" applyFont="1" applyFill="1" applyBorder="1" applyAlignment="1">
      <alignment horizontal="center" vertical="center" shrinkToFit="1"/>
    </xf>
    <xf numFmtId="0" fontId="6" fillId="0" borderId="4" xfId="0" applyFont="1" applyBorder="1" applyAlignment="1">
      <alignment horizontal="center"/>
    </xf>
    <xf numFmtId="165" fontId="7" fillId="2" borderId="5" xfId="2" applyNumberFormat="1" applyFont="1" applyFill="1" applyBorder="1" applyAlignment="1">
      <alignment horizontal="center" vertical="center" shrinkToFit="1"/>
    </xf>
    <xf numFmtId="0" fontId="7" fillId="3" borderId="6" xfId="3" applyFont="1" applyFill="1" applyBorder="1" applyAlignment="1">
      <alignment horizontal="center" vertical="center" shrinkToFit="1"/>
    </xf>
    <xf numFmtId="0" fontId="8" fillId="2" borderId="6" xfId="3" applyFont="1" applyFill="1" applyBorder="1" applyAlignment="1">
      <alignment horizontal="center" vertical="center" shrinkToFit="1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164" fontId="0" fillId="0" borderId="0" xfId="6" applyFont="1"/>
    <xf numFmtId="164" fontId="6" fillId="4" borderId="0" xfId="6" applyFont="1" applyFill="1" applyAlignment="1">
      <alignment horizontal="center"/>
    </xf>
    <xf numFmtId="0" fontId="0" fillId="4" borderId="0" xfId="0" applyFill="1"/>
    <xf numFmtId="0" fontId="1" fillId="4" borderId="2" xfId="0" applyFont="1" applyFill="1" applyBorder="1" applyAlignment="1">
      <alignment horizontal="center"/>
    </xf>
    <xf numFmtId="49" fontId="3" fillId="2" borderId="1" xfId="3" applyNumberFormat="1" applyFont="1" applyFill="1" applyBorder="1" applyAlignment="1">
      <alignment horizontal="center" vertical="center" shrinkToFit="1"/>
    </xf>
    <xf numFmtId="49" fontId="0" fillId="0" borderId="0" xfId="0" applyNumberFormat="1"/>
    <xf numFmtId="49" fontId="0" fillId="4" borderId="0" xfId="0" applyNumberFormat="1" applyFill="1"/>
  </cellXfs>
  <cellStyles count="7">
    <cellStyle name="Millares" xfId="6" builtinId="3"/>
    <cellStyle name="Normal" xfId="0" builtinId="0"/>
    <cellStyle name="쉼표 [0] 2" xfId="1" xr:uid="{00000000-0005-0000-0000-000001000000}"/>
    <cellStyle name="쉼표 [0] 4" xfId="2" xr:uid="{00000000-0005-0000-0000-000002000000}"/>
    <cellStyle name="표준 2" xfId="3" xr:uid="{00000000-0005-0000-0000-000003000000}"/>
    <cellStyle name="표준 52" xfId="4" xr:uid="{00000000-0005-0000-0000-000004000000}"/>
    <cellStyle name="표준_RA-210426(5월오더)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0"/>
  <sheetViews>
    <sheetView tabSelected="1" workbookViewId="0">
      <selection activeCell="B113" sqref="B1:B1048576"/>
    </sheetView>
  </sheetViews>
  <sheetFormatPr baseColWidth="10" defaultRowHeight="15" x14ac:dyDescent="0.25"/>
  <cols>
    <col min="1" max="1" width="15.7109375" bestFit="1" customWidth="1"/>
    <col min="2" max="2" width="11.42578125" style="7"/>
    <col min="3" max="3" width="11.42578125" style="9"/>
  </cols>
  <sheetData>
    <row r="1" spans="1:3" ht="15.75" thickBot="1" x14ac:dyDescent="0.3">
      <c r="A1" s="1" t="s">
        <v>0</v>
      </c>
      <c r="B1" s="5" t="s">
        <v>281</v>
      </c>
      <c r="C1" s="10" t="s">
        <v>287</v>
      </c>
    </row>
    <row r="2" spans="1:3" x14ac:dyDescent="0.25">
      <c r="A2" t="s">
        <v>3</v>
      </c>
      <c r="B2" s="7">
        <v>12</v>
      </c>
      <c r="C2" s="9">
        <v>25</v>
      </c>
    </row>
    <row r="3" spans="1:3" x14ac:dyDescent="0.25">
      <c r="A3" t="s">
        <v>5</v>
      </c>
      <c r="B3" s="8">
        <v>1</v>
      </c>
      <c r="C3" s="9">
        <v>372</v>
      </c>
    </row>
    <row r="4" spans="1:3" x14ac:dyDescent="0.25">
      <c r="A4" t="s">
        <v>7</v>
      </c>
      <c r="B4" s="8">
        <v>1408</v>
      </c>
      <c r="C4" s="9">
        <v>1</v>
      </c>
    </row>
    <row r="5" spans="1:3" x14ac:dyDescent="0.25">
      <c r="A5" t="s">
        <v>9</v>
      </c>
      <c r="B5" s="8">
        <v>2</v>
      </c>
      <c r="C5" s="9">
        <v>133</v>
      </c>
    </row>
    <row r="6" spans="1:3" x14ac:dyDescent="0.25">
      <c r="A6" t="s">
        <v>11</v>
      </c>
      <c r="B6" s="8">
        <v>78</v>
      </c>
      <c r="C6" s="9">
        <v>22</v>
      </c>
    </row>
    <row r="7" spans="1:3" x14ac:dyDescent="0.25">
      <c r="A7" t="s">
        <v>13</v>
      </c>
      <c r="B7" s="8">
        <v>0</v>
      </c>
      <c r="C7" s="9">
        <v>92</v>
      </c>
    </row>
    <row r="8" spans="1:3" x14ac:dyDescent="0.25">
      <c r="A8" t="s">
        <v>15</v>
      </c>
      <c r="B8" s="8">
        <v>32</v>
      </c>
      <c r="C8" s="9">
        <v>81</v>
      </c>
    </row>
    <row r="9" spans="1:3" x14ac:dyDescent="0.25">
      <c r="A9" t="s">
        <v>17</v>
      </c>
      <c r="B9" s="8">
        <v>4</v>
      </c>
      <c r="C9" s="9">
        <v>16</v>
      </c>
    </row>
    <row r="10" spans="1:3" x14ac:dyDescent="0.25">
      <c r="A10" t="s">
        <v>19</v>
      </c>
      <c r="B10" s="8">
        <v>11</v>
      </c>
      <c r="C10" s="9">
        <v>9</v>
      </c>
    </row>
    <row r="11" spans="1:3" x14ac:dyDescent="0.25">
      <c r="A11" t="s">
        <v>21</v>
      </c>
      <c r="B11" s="8">
        <v>22</v>
      </c>
      <c r="C11" s="9">
        <v>57</v>
      </c>
    </row>
    <row r="12" spans="1:3" x14ac:dyDescent="0.25">
      <c r="A12" t="s">
        <v>23</v>
      </c>
      <c r="B12" s="8">
        <v>5</v>
      </c>
      <c r="C12" s="9">
        <v>39</v>
      </c>
    </row>
    <row r="13" spans="1:3" x14ac:dyDescent="0.25">
      <c r="A13" t="s">
        <v>25</v>
      </c>
      <c r="B13" s="8">
        <v>170</v>
      </c>
      <c r="C13" s="9">
        <v>8</v>
      </c>
    </row>
    <row r="14" spans="1:3" x14ac:dyDescent="0.25">
      <c r="A14" t="s">
        <v>27</v>
      </c>
      <c r="B14" s="8">
        <v>35</v>
      </c>
      <c r="C14" s="9">
        <v>63</v>
      </c>
    </row>
    <row r="15" spans="1:3" x14ac:dyDescent="0.25">
      <c r="A15" t="s">
        <v>29</v>
      </c>
      <c r="B15" s="8">
        <v>24</v>
      </c>
      <c r="C15" s="9">
        <v>90</v>
      </c>
    </row>
    <row r="16" spans="1:3" x14ac:dyDescent="0.25">
      <c r="A16" t="s">
        <v>31</v>
      </c>
      <c r="B16" s="8">
        <v>5</v>
      </c>
      <c r="C16" s="9">
        <v>286</v>
      </c>
    </row>
    <row r="17" spans="1:3" x14ac:dyDescent="0.25">
      <c r="A17" t="s">
        <v>33</v>
      </c>
      <c r="B17" s="8">
        <v>87</v>
      </c>
      <c r="C17" s="9">
        <v>6</v>
      </c>
    </row>
    <row r="18" spans="1:3" x14ac:dyDescent="0.25">
      <c r="A18" t="s">
        <v>35</v>
      </c>
      <c r="B18" s="8">
        <v>32</v>
      </c>
      <c r="C18" s="9">
        <v>4</v>
      </c>
    </row>
    <row r="19" spans="1:3" x14ac:dyDescent="0.25">
      <c r="A19" t="s">
        <v>37</v>
      </c>
      <c r="B19" s="8">
        <v>37</v>
      </c>
      <c r="C19" s="9">
        <v>86</v>
      </c>
    </row>
    <row r="20" spans="1:3" x14ac:dyDescent="0.25">
      <c r="A20" t="s">
        <v>39</v>
      </c>
      <c r="B20" s="8">
        <v>3</v>
      </c>
      <c r="C20" s="9">
        <v>23</v>
      </c>
    </row>
    <row r="21" spans="1:3" x14ac:dyDescent="0.25">
      <c r="A21" t="s">
        <v>41</v>
      </c>
      <c r="B21" s="8">
        <v>1</v>
      </c>
      <c r="C21" s="9">
        <v>132</v>
      </c>
    </row>
    <row r="22" spans="1:3" x14ac:dyDescent="0.25">
      <c r="A22" t="s">
        <v>43</v>
      </c>
      <c r="B22" s="8">
        <v>15</v>
      </c>
      <c r="C22" s="9">
        <v>20</v>
      </c>
    </row>
    <row r="23" spans="1:3" x14ac:dyDescent="0.25">
      <c r="A23" t="s">
        <v>45</v>
      </c>
      <c r="B23" s="8">
        <v>4</v>
      </c>
      <c r="C23" s="9">
        <v>60</v>
      </c>
    </row>
    <row r="24" spans="1:3" x14ac:dyDescent="0.25">
      <c r="A24" t="s">
        <v>47</v>
      </c>
      <c r="B24" s="8">
        <v>98</v>
      </c>
      <c r="C24" s="9">
        <v>78</v>
      </c>
    </row>
    <row r="25" spans="1:3" x14ac:dyDescent="0.25">
      <c r="A25" t="s">
        <v>49</v>
      </c>
      <c r="B25" s="8">
        <v>93</v>
      </c>
      <c r="C25" s="9">
        <v>52</v>
      </c>
    </row>
    <row r="26" spans="1:3" x14ac:dyDescent="0.25">
      <c r="A26" t="s">
        <v>51</v>
      </c>
      <c r="B26" s="8">
        <v>3</v>
      </c>
      <c r="C26" s="9">
        <v>155</v>
      </c>
    </row>
    <row r="27" spans="1:3" x14ac:dyDescent="0.25">
      <c r="A27" t="s">
        <v>53</v>
      </c>
      <c r="B27" s="8">
        <v>17</v>
      </c>
      <c r="C27" s="9">
        <v>44</v>
      </c>
    </row>
    <row r="28" spans="1:3" x14ac:dyDescent="0.25">
      <c r="A28" t="s">
        <v>55</v>
      </c>
      <c r="B28" s="8">
        <v>90</v>
      </c>
      <c r="C28" s="9">
        <v>13</v>
      </c>
    </row>
    <row r="29" spans="1:3" x14ac:dyDescent="0.25">
      <c r="A29" t="s">
        <v>57</v>
      </c>
      <c r="B29" s="8">
        <v>89</v>
      </c>
      <c r="C29" s="9">
        <v>54</v>
      </c>
    </row>
    <row r="30" spans="1:3" x14ac:dyDescent="0.25">
      <c r="A30" t="s">
        <v>59</v>
      </c>
      <c r="B30" s="8">
        <v>5</v>
      </c>
      <c r="C30" s="9">
        <v>67</v>
      </c>
    </row>
    <row r="31" spans="1:3" x14ac:dyDescent="0.25">
      <c r="A31" t="s">
        <v>61</v>
      </c>
      <c r="B31" s="8">
        <v>10</v>
      </c>
      <c r="C31" s="9">
        <v>9</v>
      </c>
    </row>
    <row r="32" spans="1:3" x14ac:dyDescent="0.25">
      <c r="A32" t="s">
        <v>63</v>
      </c>
      <c r="B32" s="8">
        <v>89</v>
      </c>
      <c r="C32" s="9">
        <v>48</v>
      </c>
    </row>
    <row r="33" spans="1:3" x14ac:dyDescent="0.25">
      <c r="A33" t="s">
        <v>65</v>
      </c>
      <c r="B33" s="8">
        <v>16</v>
      </c>
      <c r="C33" s="9">
        <v>13</v>
      </c>
    </row>
    <row r="34" spans="1:3" x14ac:dyDescent="0.25">
      <c r="A34" t="s">
        <v>67</v>
      </c>
      <c r="B34" s="8">
        <v>16</v>
      </c>
      <c r="C34" s="9">
        <v>40</v>
      </c>
    </row>
    <row r="35" spans="1:3" x14ac:dyDescent="0.25">
      <c r="A35" t="s">
        <v>69</v>
      </c>
      <c r="B35" s="8">
        <v>0</v>
      </c>
      <c r="C35" s="9">
        <v>23</v>
      </c>
    </row>
    <row r="36" spans="1:3" x14ac:dyDescent="0.25">
      <c r="A36" t="s">
        <v>71</v>
      </c>
      <c r="B36" s="8">
        <v>32</v>
      </c>
      <c r="C36" s="9">
        <v>64</v>
      </c>
    </row>
    <row r="37" spans="1:3" x14ac:dyDescent="0.25">
      <c r="A37" t="s">
        <v>73</v>
      </c>
      <c r="B37" s="8">
        <v>77</v>
      </c>
      <c r="C37" s="9">
        <v>34</v>
      </c>
    </row>
    <row r="38" spans="1:3" x14ac:dyDescent="0.25">
      <c r="A38" t="s">
        <v>75</v>
      </c>
      <c r="B38" s="8">
        <v>5</v>
      </c>
      <c r="C38" s="9">
        <v>40</v>
      </c>
    </row>
    <row r="39" spans="1:3" x14ac:dyDescent="0.25">
      <c r="A39" t="s">
        <v>77</v>
      </c>
      <c r="B39" s="8">
        <v>3</v>
      </c>
      <c r="C39" s="9">
        <v>35</v>
      </c>
    </row>
    <row r="40" spans="1:3" x14ac:dyDescent="0.25">
      <c r="A40" t="s">
        <v>79</v>
      </c>
      <c r="B40" s="8">
        <v>3</v>
      </c>
      <c r="C40" s="9">
        <v>253</v>
      </c>
    </row>
    <row r="41" spans="1:3" x14ac:dyDescent="0.25">
      <c r="A41" t="s">
        <v>81</v>
      </c>
      <c r="B41" s="8">
        <v>640</v>
      </c>
      <c r="C41" s="9">
        <v>3</v>
      </c>
    </row>
    <row r="42" spans="1:3" x14ac:dyDescent="0.25">
      <c r="A42" t="s">
        <v>83</v>
      </c>
      <c r="B42" s="8">
        <v>281</v>
      </c>
      <c r="C42" s="9">
        <v>5</v>
      </c>
    </row>
    <row r="43" spans="1:3" x14ac:dyDescent="0.25">
      <c r="A43" t="s">
        <v>85</v>
      </c>
      <c r="B43" s="8">
        <v>5</v>
      </c>
      <c r="C43" s="9">
        <v>13</v>
      </c>
    </row>
    <row r="44" spans="1:3" x14ac:dyDescent="0.25">
      <c r="A44" t="s">
        <v>87</v>
      </c>
      <c r="B44" s="8">
        <v>15</v>
      </c>
      <c r="C44" s="9">
        <v>8</v>
      </c>
    </row>
    <row r="45" spans="1:3" x14ac:dyDescent="0.25">
      <c r="A45" t="s">
        <v>89</v>
      </c>
      <c r="B45" s="8">
        <v>1</v>
      </c>
      <c r="C45" s="9">
        <v>35</v>
      </c>
    </row>
    <row r="46" spans="1:3" x14ac:dyDescent="0.25">
      <c r="A46" t="s">
        <v>91</v>
      </c>
      <c r="B46" s="8">
        <v>2</v>
      </c>
      <c r="C46" s="9">
        <v>255</v>
      </c>
    </row>
    <row r="47" spans="1:3" x14ac:dyDescent="0.25">
      <c r="A47" t="s">
        <v>93</v>
      </c>
      <c r="B47" s="8">
        <v>90</v>
      </c>
      <c r="C47" s="9">
        <v>7</v>
      </c>
    </row>
    <row r="48" spans="1:3" x14ac:dyDescent="0.25">
      <c r="A48" t="s">
        <v>95</v>
      </c>
      <c r="B48" s="8">
        <v>15</v>
      </c>
      <c r="C48" s="9">
        <v>40</v>
      </c>
    </row>
    <row r="49" spans="1:3" x14ac:dyDescent="0.25">
      <c r="A49" t="s">
        <v>97</v>
      </c>
      <c r="B49" s="8">
        <v>10</v>
      </c>
      <c r="C49" s="9">
        <v>52</v>
      </c>
    </row>
    <row r="50" spans="1:3" x14ac:dyDescent="0.25">
      <c r="A50" t="s">
        <v>99</v>
      </c>
      <c r="B50" s="8">
        <v>2</v>
      </c>
      <c r="C50" s="9">
        <v>303</v>
      </c>
    </row>
    <row r="51" spans="1:3" x14ac:dyDescent="0.25">
      <c r="A51" t="s">
        <v>101</v>
      </c>
      <c r="B51" s="8">
        <v>12</v>
      </c>
      <c r="C51" s="9">
        <v>50</v>
      </c>
    </row>
    <row r="52" spans="1:3" x14ac:dyDescent="0.25">
      <c r="A52" t="s">
        <v>103</v>
      </c>
      <c r="B52" s="8">
        <v>2</v>
      </c>
      <c r="C52" s="9">
        <v>448</v>
      </c>
    </row>
    <row r="53" spans="1:3" x14ac:dyDescent="0.25">
      <c r="A53" t="s">
        <v>105</v>
      </c>
      <c r="B53" s="8">
        <v>62</v>
      </c>
      <c r="C53" s="9">
        <v>15</v>
      </c>
    </row>
    <row r="54" spans="1:3" x14ac:dyDescent="0.25">
      <c r="A54" t="s">
        <v>107</v>
      </c>
      <c r="B54" s="8">
        <v>2</v>
      </c>
      <c r="C54" s="9">
        <v>228</v>
      </c>
    </row>
    <row r="55" spans="1:3" x14ac:dyDescent="0.25">
      <c r="A55" t="s">
        <v>109</v>
      </c>
      <c r="B55" s="8">
        <v>2</v>
      </c>
      <c r="C55" s="9">
        <v>332</v>
      </c>
    </row>
    <row r="56" spans="1:3" x14ac:dyDescent="0.25">
      <c r="A56" t="s">
        <v>111</v>
      </c>
      <c r="B56" s="8">
        <v>147</v>
      </c>
      <c r="C56" s="9">
        <v>17</v>
      </c>
    </row>
    <row r="57" spans="1:3" x14ac:dyDescent="0.25">
      <c r="A57" t="s">
        <v>113</v>
      </c>
      <c r="B57" s="8">
        <v>70</v>
      </c>
      <c r="C57" s="9">
        <v>12</v>
      </c>
    </row>
    <row r="58" spans="1:3" x14ac:dyDescent="0.25">
      <c r="A58" t="s">
        <v>115</v>
      </c>
      <c r="B58" s="8">
        <v>70</v>
      </c>
      <c r="C58" s="9">
        <v>9</v>
      </c>
    </row>
    <row r="59" spans="1:3" x14ac:dyDescent="0.25">
      <c r="A59" t="s">
        <v>117</v>
      </c>
      <c r="B59" s="8">
        <v>65</v>
      </c>
      <c r="C59" s="9">
        <v>7</v>
      </c>
    </row>
    <row r="60" spans="1:3" x14ac:dyDescent="0.25">
      <c r="A60" t="s">
        <v>119</v>
      </c>
      <c r="B60" s="8">
        <v>65</v>
      </c>
      <c r="C60" s="9">
        <v>3</v>
      </c>
    </row>
    <row r="61" spans="1:3" x14ac:dyDescent="0.25">
      <c r="A61" t="s">
        <v>121</v>
      </c>
      <c r="B61" s="8">
        <v>7</v>
      </c>
      <c r="C61" s="9">
        <v>43</v>
      </c>
    </row>
    <row r="62" spans="1:3" x14ac:dyDescent="0.25">
      <c r="A62" t="s">
        <v>123</v>
      </c>
      <c r="B62" s="8">
        <v>6</v>
      </c>
      <c r="C62" s="9">
        <v>86</v>
      </c>
    </row>
    <row r="63" spans="1:3" x14ac:dyDescent="0.25">
      <c r="A63" t="s">
        <v>125</v>
      </c>
      <c r="B63" s="8">
        <v>33</v>
      </c>
      <c r="C63" s="9">
        <v>13</v>
      </c>
    </row>
    <row r="64" spans="1:3" x14ac:dyDescent="0.25">
      <c r="A64" t="s">
        <v>127</v>
      </c>
      <c r="B64" s="8">
        <v>8</v>
      </c>
      <c r="C64" s="9">
        <v>7</v>
      </c>
    </row>
    <row r="65" spans="1:3" x14ac:dyDescent="0.25">
      <c r="A65" t="s">
        <v>129</v>
      </c>
      <c r="B65" s="8">
        <v>3</v>
      </c>
      <c r="C65" s="9">
        <v>112</v>
      </c>
    </row>
    <row r="66" spans="1:3" x14ac:dyDescent="0.25">
      <c r="A66" t="s">
        <v>131</v>
      </c>
      <c r="B66" s="8">
        <v>35</v>
      </c>
      <c r="C66" s="9">
        <v>3</v>
      </c>
    </row>
    <row r="67" spans="1:3" x14ac:dyDescent="0.25">
      <c r="A67" t="s">
        <v>133</v>
      </c>
      <c r="B67" s="8">
        <v>5</v>
      </c>
      <c r="C67" s="9">
        <v>4</v>
      </c>
    </row>
    <row r="68" spans="1:3" x14ac:dyDescent="0.25">
      <c r="A68" t="s">
        <v>135</v>
      </c>
      <c r="B68" s="8">
        <v>14</v>
      </c>
      <c r="C68" s="9">
        <v>14</v>
      </c>
    </row>
    <row r="69" spans="1:3" x14ac:dyDescent="0.25">
      <c r="A69" t="s">
        <v>137</v>
      </c>
      <c r="B69" s="8">
        <v>83</v>
      </c>
      <c r="C69" s="9">
        <v>5</v>
      </c>
    </row>
    <row r="70" spans="1:3" x14ac:dyDescent="0.25">
      <c r="A70" t="s">
        <v>139</v>
      </c>
      <c r="B70" s="8">
        <v>10</v>
      </c>
      <c r="C70" s="9">
        <v>4</v>
      </c>
    </row>
    <row r="71" spans="1:3" x14ac:dyDescent="0.25">
      <c r="A71" t="s">
        <v>141</v>
      </c>
      <c r="B71" s="8">
        <v>10</v>
      </c>
      <c r="C71" s="9">
        <v>7</v>
      </c>
    </row>
    <row r="72" spans="1:3" x14ac:dyDescent="0.25">
      <c r="A72" t="s">
        <v>143</v>
      </c>
      <c r="B72" s="8">
        <v>7</v>
      </c>
      <c r="C72" s="9">
        <v>12</v>
      </c>
    </row>
    <row r="73" spans="1:3" x14ac:dyDescent="0.25">
      <c r="A73" t="s">
        <v>145</v>
      </c>
      <c r="B73" s="8">
        <v>25</v>
      </c>
      <c r="C73" s="9">
        <v>19</v>
      </c>
    </row>
    <row r="74" spans="1:3" x14ac:dyDescent="0.25">
      <c r="A74" t="s">
        <v>147</v>
      </c>
      <c r="B74" s="8">
        <v>2</v>
      </c>
      <c r="C74" s="9">
        <v>19</v>
      </c>
    </row>
    <row r="75" spans="1:3" x14ac:dyDescent="0.25">
      <c r="A75" t="s">
        <v>149</v>
      </c>
      <c r="B75" s="8">
        <v>80</v>
      </c>
      <c r="C75" s="9">
        <v>8</v>
      </c>
    </row>
    <row r="76" spans="1:3" x14ac:dyDescent="0.25">
      <c r="A76" t="s">
        <v>151</v>
      </c>
      <c r="B76" s="8">
        <v>75</v>
      </c>
      <c r="C76" s="9">
        <v>13</v>
      </c>
    </row>
    <row r="77" spans="1:3" x14ac:dyDescent="0.25">
      <c r="A77" t="s">
        <v>153</v>
      </c>
      <c r="B77" s="8">
        <v>22</v>
      </c>
      <c r="C77" s="9">
        <v>9</v>
      </c>
    </row>
    <row r="78" spans="1:3" x14ac:dyDescent="0.25">
      <c r="A78" t="s">
        <v>155</v>
      </c>
      <c r="B78" s="8">
        <v>4</v>
      </c>
      <c r="C78" s="9">
        <v>16</v>
      </c>
    </row>
    <row r="79" spans="1:3" x14ac:dyDescent="0.25">
      <c r="A79" t="s">
        <v>157</v>
      </c>
      <c r="B79" s="8">
        <v>14</v>
      </c>
      <c r="C79" s="9">
        <v>6</v>
      </c>
    </row>
    <row r="80" spans="1:3" x14ac:dyDescent="0.25">
      <c r="A80" t="s">
        <v>159</v>
      </c>
      <c r="B80" s="8">
        <v>4320</v>
      </c>
      <c r="C80" s="9">
        <v>2</v>
      </c>
    </row>
    <row r="81" spans="1:3" x14ac:dyDescent="0.25">
      <c r="A81" t="s">
        <v>161</v>
      </c>
      <c r="B81" s="8">
        <v>50</v>
      </c>
      <c r="C81" s="9">
        <v>6</v>
      </c>
    </row>
    <row r="82" spans="1:3" x14ac:dyDescent="0.25">
      <c r="A82" t="s">
        <v>163</v>
      </c>
      <c r="B82" s="8">
        <v>58</v>
      </c>
      <c r="C82" s="9">
        <v>27</v>
      </c>
    </row>
    <row r="83" spans="1:3" x14ac:dyDescent="0.25">
      <c r="A83" t="s">
        <v>165</v>
      </c>
      <c r="B83" s="8">
        <v>52</v>
      </c>
      <c r="C83" s="9">
        <v>29</v>
      </c>
    </row>
    <row r="84" spans="1:3" x14ac:dyDescent="0.25">
      <c r="A84" t="s">
        <v>167</v>
      </c>
      <c r="B84" s="8">
        <v>25</v>
      </c>
      <c r="C84" s="9">
        <v>5</v>
      </c>
    </row>
    <row r="85" spans="1:3" x14ac:dyDescent="0.25">
      <c r="A85" s="11" t="s">
        <v>169</v>
      </c>
      <c r="B85" s="8">
        <v>17</v>
      </c>
      <c r="C85" s="9">
        <v>5</v>
      </c>
    </row>
    <row r="86" spans="1:3" x14ac:dyDescent="0.25">
      <c r="A86" t="s">
        <v>171</v>
      </c>
      <c r="B86" s="8">
        <v>25</v>
      </c>
      <c r="C86" s="9">
        <v>5</v>
      </c>
    </row>
    <row r="87" spans="1:3" x14ac:dyDescent="0.25">
      <c r="A87" t="s">
        <v>173</v>
      </c>
      <c r="B87" s="8">
        <v>42</v>
      </c>
      <c r="C87" s="9">
        <v>3</v>
      </c>
    </row>
    <row r="88" spans="1:3" x14ac:dyDescent="0.25">
      <c r="A88" t="s">
        <v>175</v>
      </c>
      <c r="B88" s="8">
        <v>52</v>
      </c>
      <c r="C88" s="9">
        <v>6</v>
      </c>
    </row>
    <row r="89" spans="1:3" x14ac:dyDescent="0.25">
      <c r="A89" t="s">
        <v>177</v>
      </c>
      <c r="B89" s="8">
        <v>157</v>
      </c>
      <c r="C89" s="9">
        <v>4</v>
      </c>
    </row>
    <row r="90" spans="1:3" x14ac:dyDescent="0.25">
      <c r="A90" t="s">
        <v>179</v>
      </c>
      <c r="B90" s="8">
        <v>67</v>
      </c>
      <c r="C90" s="9">
        <v>5</v>
      </c>
    </row>
    <row r="91" spans="1:3" x14ac:dyDescent="0.25">
      <c r="A91" t="s">
        <v>181</v>
      </c>
      <c r="B91" s="8">
        <v>2</v>
      </c>
      <c r="C91" s="9">
        <v>114</v>
      </c>
    </row>
    <row r="92" spans="1:3" x14ac:dyDescent="0.25">
      <c r="A92" t="s">
        <v>183</v>
      </c>
      <c r="B92" s="8">
        <v>2</v>
      </c>
      <c r="C92" s="9">
        <v>144</v>
      </c>
    </row>
    <row r="93" spans="1:3" x14ac:dyDescent="0.25">
      <c r="A93" t="s">
        <v>185</v>
      </c>
      <c r="B93" s="8">
        <v>13</v>
      </c>
      <c r="C93" s="9">
        <v>48</v>
      </c>
    </row>
    <row r="94" spans="1:3" x14ac:dyDescent="0.25">
      <c r="A94" t="s">
        <v>187</v>
      </c>
      <c r="B94" s="8">
        <v>19</v>
      </c>
      <c r="C94" s="9">
        <v>50</v>
      </c>
    </row>
    <row r="95" spans="1:3" x14ac:dyDescent="0.25">
      <c r="A95" s="11" t="s">
        <v>189</v>
      </c>
      <c r="B95" s="8">
        <v>19</v>
      </c>
      <c r="C95" s="9">
        <v>40</v>
      </c>
    </row>
    <row r="96" spans="1:3" x14ac:dyDescent="0.25">
      <c r="A96" t="s">
        <v>191</v>
      </c>
      <c r="B96" s="8">
        <v>6</v>
      </c>
      <c r="C96" s="9">
        <v>27</v>
      </c>
    </row>
    <row r="97" spans="1:3" x14ac:dyDescent="0.25">
      <c r="A97" t="s">
        <v>193</v>
      </c>
      <c r="B97" s="8">
        <v>14</v>
      </c>
      <c r="C97" s="9">
        <v>21</v>
      </c>
    </row>
    <row r="98" spans="1:3" x14ac:dyDescent="0.25">
      <c r="A98" t="s">
        <v>195</v>
      </c>
      <c r="B98" s="8">
        <v>6</v>
      </c>
      <c r="C98" s="9">
        <v>45</v>
      </c>
    </row>
    <row r="99" spans="1:3" x14ac:dyDescent="0.25">
      <c r="A99" t="s">
        <v>197</v>
      </c>
      <c r="B99" s="8">
        <v>14</v>
      </c>
      <c r="C99" s="9">
        <v>26</v>
      </c>
    </row>
    <row r="100" spans="1:3" x14ac:dyDescent="0.25">
      <c r="A100" t="s">
        <v>199</v>
      </c>
      <c r="B100" s="8">
        <v>6</v>
      </c>
      <c r="C100" s="9">
        <v>17</v>
      </c>
    </row>
    <row r="101" spans="1:3" x14ac:dyDescent="0.25">
      <c r="A101" t="s">
        <v>201</v>
      </c>
      <c r="B101" s="8">
        <v>14</v>
      </c>
      <c r="C101" s="9">
        <v>17</v>
      </c>
    </row>
    <row r="102" spans="1:3" x14ac:dyDescent="0.25">
      <c r="A102" t="s">
        <v>203</v>
      </c>
      <c r="B102" s="8">
        <v>6</v>
      </c>
      <c r="C102" s="9">
        <v>35</v>
      </c>
    </row>
    <row r="103" spans="1:3" x14ac:dyDescent="0.25">
      <c r="A103" t="s">
        <v>205</v>
      </c>
      <c r="B103" s="8">
        <v>2</v>
      </c>
      <c r="C103" s="9">
        <v>93</v>
      </c>
    </row>
    <row r="104" spans="1:3" x14ac:dyDescent="0.25">
      <c r="A104" t="s">
        <v>207</v>
      </c>
      <c r="B104" s="8">
        <v>7</v>
      </c>
      <c r="C104" s="9">
        <v>23</v>
      </c>
    </row>
    <row r="105" spans="1:3" x14ac:dyDescent="0.25">
      <c r="A105" t="s">
        <v>209</v>
      </c>
      <c r="B105" s="8">
        <v>39</v>
      </c>
      <c r="C105" s="9">
        <v>52</v>
      </c>
    </row>
    <row r="106" spans="1:3" x14ac:dyDescent="0.25">
      <c r="A106" t="s">
        <v>211</v>
      </c>
      <c r="B106" s="8">
        <v>7</v>
      </c>
      <c r="C106" s="9">
        <v>50</v>
      </c>
    </row>
    <row r="107" spans="1:3" x14ac:dyDescent="0.25">
      <c r="A107" t="s">
        <v>213</v>
      </c>
      <c r="B107" s="8">
        <v>50</v>
      </c>
      <c r="C107" s="9">
        <v>64</v>
      </c>
    </row>
    <row r="108" spans="1:3" x14ac:dyDescent="0.25">
      <c r="A108" t="s">
        <v>215</v>
      </c>
      <c r="B108" s="8">
        <v>26</v>
      </c>
      <c r="C108" s="9">
        <v>18</v>
      </c>
    </row>
    <row r="109" spans="1:3" x14ac:dyDescent="0.25">
      <c r="A109" t="s">
        <v>217</v>
      </c>
      <c r="B109" s="8">
        <v>3</v>
      </c>
      <c r="C109" s="9">
        <v>15</v>
      </c>
    </row>
    <row r="110" spans="1:3" x14ac:dyDescent="0.25">
      <c r="A110" t="s">
        <v>219</v>
      </c>
      <c r="B110" s="8">
        <v>5</v>
      </c>
      <c r="C110" s="9">
        <v>39</v>
      </c>
    </row>
    <row r="111" spans="1:3" x14ac:dyDescent="0.25">
      <c r="A111" t="s">
        <v>221</v>
      </c>
      <c r="B111" s="8">
        <v>5</v>
      </c>
      <c r="C111" s="9">
        <v>20</v>
      </c>
    </row>
    <row r="112" spans="1:3" x14ac:dyDescent="0.25">
      <c r="A112" t="s">
        <v>223</v>
      </c>
      <c r="B112" s="8">
        <v>6</v>
      </c>
      <c r="C112" s="9">
        <v>12</v>
      </c>
    </row>
    <row r="113" spans="1:3" x14ac:dyDescent="0.25">
      <c r="A113" t="s">
        <v>225</v>
      </c>
      <c r="B113" s="8">
        <v>6</v>
      </c>
      <c r="C113" s="9">
        <v>12</v>
      </c>
    </row>
    <row r="114" spans="1:3" x14ac:dyDescent="0.25">
      <c r="A114" t="s">
        <v>227</v>
      </c>
      <c r="B114" s="8">
        <v>9</v>
      </c>
      <c r="C114" s="9">
        <v>55</v>
      </c>
    </row>
    <row r="115" spans="1:3" x14ac:dyDescent="0.25">
      <c r="A115" t="s">
        <v>229</v>
      </c>
      <c r="B115" s="8">
        <v>4</v>
      </c>
      <c r="C115" s="9">
        <v>23</v>
      </c>
    </row>
    <row r="116" spans="1:3" x14ac:dyDescent="0.25">
      <c r="A116" t="s">
        <v>231</v>
      </c>
      <c r="B116" s="8">
        <v>11</v>
      </c>
      <c r="C116" s="9">
        <v>23</v>
      </c>
    </row>
    <row r="117" spans="1:3" x14ac:dyDescent="0.25">
      <c r="A117" t="s">
        <v>233</v>
      </c>
      <c r="B117" s="8">
        <v>5</v>
      </c>
      <c r="C117" s="9">
        <v>21</v>
      </c>
    </row>
    <row r="118" spans="1:3" x14ac:dyDescent="0.25">
      <c r="A118" t="s">
        <v>235</v>
      </c>
      <c r="B118" s="8">
        <v>15</v>
      </c>
      <c r="C118" s="9">
        <v>24</v>
      </c>
    </row>
    <row r="119" spans="1:3" x14ac:dyDescent="0.25">
      <c r="A119" t="s">
        <v>237</v>
      </c>
      <c r="B119" s="8">
        <v>14</v>
      </c>
      <c r="C119" s="9">
        <v>43</v>
      </c>
    </row>
    <row r="120" spans="1:3" x14ac:dyDescent="0.25">
      <c r="A120" t="s">
        <v>239</v>
      </c>
      <c r="B120" s="8">
        <v>6</v>
      </c>
      <c r="C120" s="9">
        <v>16</v>
      </c>
    </row>
    <row r="121" spans="1:3" x14ac:dyDescent="0.25">
      <c r="A121" t="s">
        <v>241</v>
      </c>
      <c r="B121" s="8">
        <v>6</v>
      </c>
      <c r="C121" s="9">
        <v>26</v>
      </c>
    </row>
    <row r="122" spans="1:3" x14ac:dyDescent="0.25">
      <c r="A122" t="s">
        <v>243</v>
      </c>
      <c r="B122" s="8">
        <v>3</v>
      </c>
      <c r="C122" s="9">
        <v>36</v>
      </c>
    </row>
    <row r="123" spans="1:3" x14ac:dyDescent="0.25">
      <c r="A123" t="s">
        <v>245</v>
      </c>
      <c r="B123" s="8">
        <v>16</v>
      </c>
      <c r="C123" s="9">
        <v>25</v>
      </c>
    </row>
    <row r="124" spans="1:3" x14ac:dyDescent="0.25">
      <c r="A124" t="s">
        <v>247</v>
      </c>
      <c r="B124" s="8">
        <v>10</v>
      </c>
      <c r="C124" s="9">
        <v>25</v>
      </c>
    </row>
    <row r="125" spans="1:3" x14ac:dyDescent="0.25">
      <c r="A125" t="s">
        <v>249</v>
      </c>
      <c r="B125" s="8">
        <v>3</v>
      </c>
      <c r="C125" s="9">
        <v>30</v>
      </c>
    </row>
    <row r="126" spans="1:3" x14ac:dyDescent="0.25">
      <c r="A126" t="s">
        <v>251</v>
      </c>
      <c r="B126" s="8">
        <v>3</v>
      </c>
      <c r="C126" s="9">
        <v>38</v>
      </c>
    </row>
    <row r="127" spans="1:3" x14ac:dyDescent="0.25">
      <c r="A127" t="s">
        <v>253</v>
      </c>
      <c r="B127" s="8">
        <v>36</v>
      </c>
      <c r="C127" s="9">
        <v>11</v>
      </c>
    </row>
    <row r="128" spans="1:3" x14ac:dyDescent="0.25">
      <c r="A128" t="s">
        <v>255</v>
      </c>
      <c r="B128" s="8">
        <v>88</v>
      </c>
      <c r="C128" s="9">
        <v>7</v>
      </c>
    </row>
    <row r="129" spans="1:3" x14ac:dyDescent="0.25">
      <c r="A129" t="s">
        <v>257</v>
      </c>
      <c r="B129" s="8">
        <v>72</v>
      </c>
      <c r="C129" s="9">
        <v>6</v>
      </c>
    </row>
    <row r="130" spans="1:3" x14ac:dyDescent="0.25">
      <c r="A130" t="s">
        <v>259</v>
      </c>
      <c r="B130" s="8">
        <v>33</v>
      </c>
      <c r="C130" s="9">
        <v>5</v>
      </c>
    </row>
    <row r="131" spans="1:3" x14ac:dyDescent="0.25">
      <c r="A131" t="s">
        <v>261</v>
      </c>
      <c r="B131" s="8">
        <v>18</v>
      </c>
      <c r="C131" s="9">
        <v>7</v>
      </c>
    </row>
    <row r="132" spans="1:3" x14ac:dyDescent="0.25">
      <c r="A132" t="s">
        <v>263</v>
      </c>
      <c r="B132" s="8">
        <v>12</v>
      </c>
      <c r="C132" s="9">
        <v>5</v>
      </c>
    </row>
    <row r="133" spans="1:3" x14ac:dyDescent="0.25">
      <c r="A133" t="s">
        <v>265</v>
      </c>
      <c r="B133" s="8">
        <v>63</v>
      </c>
      <c r="C133" s="9">
        <v>3</v>
      </c>
    </row>
    <row r="134" spans="1:3" x14ac:dyDescent="0.25">
      <c r="A134" t="s">
        <v>267</v>
      </c>
      <c r="B134" s="8">
        <v>63</v>
      </c>
      <c r="C134" s="9">
        <v>3</v>
      </c>
    </row>
    <row r="135" spans="1:3" x14ac:dyDescent="0.25">
      <c r="A135" t="s">
        <v>269</v>
      </c>
      <c r="B135" s="8">
        <v>63</v>
      </c>
      <c r="C135" s="9">
        <v>3</v>
      </c>
    </row>
    <row r="136" spans="1:3" x14ac:dyDescent="0.25">
      <c r="A136" t="s">
        <v>271</v>
      </c>
      <c r="B136" s="8">
        <v>38</v>
      </c>
      <c r="C136" s="9">
        <v>10</v>
      </c>
    </row>
    <row r="137" spans="1:3" x14ac:dyDescent="0.25">
      <c r="A137" t="s">
        <v>273</v>
      </c>
      <c r="B137" s="8">
        <v>30</v>
      </c>
      <c r="C137" s="9">
        <v>7</v>
      </c>
    </row>
    <row r="138" spans="1:3" x14ac:dyDescent="0.25">
      <c r="A138" t="s">
        <v>275</v>
      </c>
      <c r="B138" s="8">
        <v>3</v>
      </c>
      <c r="C138" s="9">
        <v>44</v>
      </c>
    </row>
    <row r="139" spans="1:3" x14ac:dyDescent="0.25">
      <c r="A139" t="s">
        <v>277</v>
      </c>
      <c r="B139" s="8">
        <v>3</v>
      </c>
      <c r="C139" s="9">
        <v>41</v>
      </c>
    </row>
    <row r="140" spans="1:3" x14ac:dyDescent="0.25">
      <c r="A140" t="s">
        <v>279</v>
      </c>
      <c r="B140" s="8">
        <v>88</v>
      </c>
      <c r="C140" s="9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3F0D4-8A15-48CC-B623-D56B24973E52}">
  <dimension ref="A1:C127"/>
  <sheetViews>
    <sheetView workbookViewId="0">
      <selection activeCell="F15" sqref="F15"/>
    </sheetView>
  </sheetViews>
  <sheetFormatPr baseColWidth="10" defaultRowHeight="15" x14ac:dyDescent="0.25"/>
  <cols>
    <col min="1" max="1" width="15.7109375" bestFit="1" customWidth="1"/>
    <col min="2" max="2" width="11.42578125" style="7"/>
    <col min="3" max="3" width="11.42578125" style="9"/>
  </cols>
  <sheetData>
    <row r="1" spans="1:3" ht="15.75" thickBot="1" x14ac:dyDescent="0.3">
      <c r="A1" s="1" t="s">
        <v>0</v>
      </c>
      <c r="B1" s="5" t="s">
        <v>282</v>
      </c>
      <c r="C1" s="10" t="s">
        <v>287</v>
      </c>
    </row>
    <row r="2" spans="1:3" x14ac:dyDescent="0.25">
      <c r="A2" t="s">
        <v>3</v>
      </c>
      <c r="B2" s="7">
        <v>4</v>
      </c>
      <c r="C2" s="9">
        <v>25</v>
      </c>
    </row>
    <row r="3" spans="1:3" x14ac:dyDescent="0.25">
      <c r="A3" t="s">
        <v>7</v>
      </c>
      <c r="B3" s="8">
        <v>160</v>
      </c>
      <c r="C3" s="9">
        <v>1</v>
      </c>
    </row>
    <row r="4" spans="1:3" x14ac:dyDescent="0.25">
      <c r="A4" t="s">
        <v>11</v>
      </c>
      <c r="B4" s="8">
        <v>10</v>
      </c>
      <c r="C4" s="9">
        <v>22</v>
      </c>
    </row>
    <row r="5" spans="1:3" x14ac:dyDescent="0.25">
      <c r="A5" t="s">
        <v>13</v>
      </c>
      <c r="B5" s="8">
        <v>2</v>
      </c>
      <c r="C5" s="9">
        <v>92</v>
      </c>
    </row>
    <row r="6" spans="1:3" x14ac:dyDescent="0.25">
      <c r="A6" t="s">
        <v>15</v>
      </c>
      <c r="B6" s="8">
        <v>10</v>
      </c>
      <c r="C6" s="9">
        <v>81</v>
      </c>
    </row>
    <row r="7" spans="1:3" x14ac:dyDescent="0.25">
      <c r="A7" t="s">
        <v>17</v>
      </c>
      <c r="B7" s="8">
        <v>2</v>
      </c>
      <c r="C7" s="9">
        <v>16</v>
      </c>
    </row>
    <row r="8" spans="1:3" x14ac:dyDescent="0.25">
      <c r="A8" t="s">
        <v>19</v>
      </c>
      <c r="B8" s="8">
        <v>4</v>
      </c>
      <c r="C8" s="9">
        <v>9</v>
      </c>
    </row>
    <row r="9" spans="1:3" x14ac:dyDescent="0.25">
      <c r="A9" t="s">
        <v>21</v>
      </c>
      <c r="B9" s="8">
        <v>5</v>
      </c>
      <c r="C9" s="9">
        <v>57</v>
      </c>
    </row>
    <row r="10" spans="1:3" x14ac:dyDescent="0.25">
      <c r="A10" t="s">
        <v>23</v>
      </c>
      <c r="B10" s="8">
        <v>4</v>
      </c>
      <c r="C10" s="9">
        <v>39</v>
      </c>
    </row>
    <row r="11" spans="1:3" x14ac:dyDescent="0.25">
      <c r="A11" t="s">
        <v>25</v>
      </c>
      <c r="B11" s="8">
        <v>30</v>
      </c>
      <c r="C11" s="9">
        <v>8</v>
      </c>
    </row>
    <row r="12" spans="1:3" x14ac:dyDescent="0.25">
      <c r="A12" t="s">
        <v>27</v>
      </c>
      <c r="B12" s="8">
        <v>10</v>
      </c>
      <c r="C12" s="9">
        <v>63</v>
      </c>
    </row>
    <row r="13" spans="1:3" x14ac:dyDescent="0.25">
      <c r="A13" t="s">
        <v>29</v>
      </c>
      <c r="B13" s="8">
        <v>10</v>
      </c>
      <c r="C13" s="9">
        <v>90</v>
      </c>
    </row>
    <row r="14" spans="1:3" x14ac:dyDescent="0.25">
      <c r="A14" t="s">
        <v>33</v>
      </c>
      <c r="B14" s="8">
        <v>10</v>
      </c>
      <c r="C14" s="9">
        <v>6</v>
      </c>
    </row>
    <row r="15" spans="1:3" x14ac:dyDescent="0.25">
      <c r="A15" t="s">
        <v>35</v>
      </c>
      <c r="B15" s="8">
        <v>24</v>
      </c>
      <c r="C15" s="9">
        <v>4</v>
      </c>
    </row>
    <row r="16" spans="1:3" x14ac:dyDescent="0.25">
      <c r="A16" t="s">
        <v>37</v>
      </c>
      <c r="B16" s="8">
        <v>10</v>
      </c>
      <c r="C16" s="9">
        <v>86</v>
      </c>
    </row>
    <row r="17" spans="1:3" x14ac:dyDescent="0.25">
      <c r="A17" t="s">
        <v>39</v>
      </c>
      <c r="B17" s="8">
        <v>2</v>
      </c>
      <c r="C17" s="9">
        <v>23</v>
      </c>
    </row>
    <row r="18" spans="1:3" x14ac:dyDescent="0.25">
      <c r="A18" t="s">
        <v>41</v>
      </c>
      <c r="B18" s="8">
        <v>1</v>
      </c>
      <c r="C18" s="9">
        <v>132</v>
      </c>
    </row>
    <row r="19" spans="1:3" x14ac:dyDescent="0.25">
      <c r="A19" t="s">
        <v>43</v>
      </c>
      <c r="B19" s="8">
        <v>5</v>
      </c>
      <c r="C19" s="9">
        <v>20</v>
      </c>
    </row>
    <row r="20" spans="1:3" x14ac:dyDescent="0.25">
      <c r="A20" t="s">
        <v>45</v>
      </c>
      <c r="B20" s="8">
        <v>1</v>
      </c>
      <c r="C20" s="9">
        <v>60</v>
      </c>
    </row>
    <row r="21" spans="1:3" x14ac:dyDescent="0.25">
      <c r="A21" t="s">
        <v>47</v>
      </c>
      <c r="B21" s="8">
        <v>6</v>
      </c>
      <c r="C21" s="9">
        <v>78</v>
      </c>
    </row>
    <row r="22" spans="1:3" x14ac:dyDescent="0.25">
      <c r="A22" t="s">
        <v>49</v>
      </c>
      <c r="B22" s="8">
        <v>6</v>
      </c>
      <c r="C22" s="9">
        <v>52</v>
      </c>
    </row>
    <row r="23" spans="1:3" x14ac:dyDescent="0.25">
      <c r="A23" t="s">
        <v>51</v>
      </c>
      <c r="B23" s="8">
        <v>4</v>
      </c>
      <c r="C23" s="9">
        <v>155</v>
      </c>
    </row>
    <row r="24" spans="1:3" x14ac:dyDescent="0.25">
      <c r="A24" t="s">
        <v>53</v>
      </c>
      <c r="B24" s="8">
        <v>10</v>
      </c>
      <c r="C24" s="9">
        <v>44</v>
      </c>
    </row>
    <row r="25" spans="1:3" x14ac:dyDescent="0.25">
      <c r="A25" t="s">
        <v>55</v>
      </c>
      <c r="B25" s="8">
        <v>10</v>
      </c>
      <c r="C25" s="9">
        <v>13</v>
      </c>
    </row>
    <row r="26" spans="1:3" x14ac:dyDescent="0.25">
      <c r="A26" t="s">
        <v>57</v>
      </c>
      <c r="B26" s="8">
        <v>10</v>
      </c>
      <c r="C26" s="9">
        <v>54</v>
      </c>
    </row>
    <row r="27" spans="1:3" x14ac:dyDescent="0.25">
      <c r="A27" t="s">
        <v>59</v>
      </c>
      <c r="B27" s="8">
        <v>4</v>
      </c>
      <c r="C27" s="9">
        <v>67</v>
      </c>
    </row>
    <row r="28" spans="1:3" x14ac:dyDescent="0.25">
      <c r="A28" t="s">
        <v>61</v>
      </c>
      <c r="B28" s="8">
        <v>10</v>
      </c>
      <c r="C28" s="9">
        <v>9</v>
      </c>
    </row>
    <row r="29" spans="1:3" x14ac:dyDescent="0.25">
      <c r="A29" t="s">
        <v>63</v>
      </c>
      <c r="B29" s="8">
        <v>10</v>
      </c>
      <c r="C29" s="9">
        <v>48</v>
      </c>
    </row>
    <row r="30" spans="1:3" x14ac:dyDescent="0.25">
      <c r="A30" t="s">
        <v>65</v>
      </c>
      <c r="B30" s="8">
        <v>4</v>
      </c>
      <c r="C30" s="9">
        <v>13</v>
      </c>
    </row>
    <row r="31" spans="1:3" x14ac:dyDescent="0.25">
      <c r="A31" t="s">
        <v>67</v>
      </c>
      <c r="B31" s="8">
        <v>4</v>
      </c>
      <c r="C31" s="9">
        <v>40</v>
      </c>
    </row>
    <row r="32" spans="1:3" x14ac:dyDescent="0.25">
      <c r="A32" t="s">
        <v>69</v>
      </c>
      <c r="B32" s="8">
        <v>2</v>
      </c>
      <c r="C32" s="9">
        <v>23</v>
      </c>
    </row>
    <row r="33" spans="1:3" x14ac:dyDescent="0.25">
      <c r="A33" t="s">
        <v>71</v>
      </c>
      <c r="B33" s="8">
        <v>10</v>
      </c>
      <c r="C33" s="9">
        <v>64</v>
      </c>
    </row>
    <row r="34" spans="1:3" x14ac:dyDescent="0.25">
      <c r="A34" t="s">
        <v>73</v>
      </c>
      <c r="B34" s="8">
        <v>8</v>
      </c>
      <c r="C34" s="9">
        <v>34</v>
      </c>
    </row>
    <row r="35" spans="1:3" x14ac:dyDescent="0.25">
      <c r="A35" t="s">
        <v>75</v>
      </c>
      <c r="B35" s="8">
        <v>4</v>
      </c>
      <c r="C35" s="9">
        <v>40</v>
      </c>
    </row>
    <row r="36" spans="1:3" x14ac:dyDescent="0.25">
      <c r="A36" t="s">
        <v>77</v>
      </c>
      <c r="B36" s="8">
        <v>2</v>
      </c>
      <c r="C36" s="9">
        <v>35</v>
      </c>
    </row>
    <row r="37" spans="1:3" x14ac:dyDescent="0.25">
      <c r="A37" t="s">
        <v>79</v>
      </c>
      <c r="B37" s="8">
        <v>4</v>
      </c>
      <c r="C37" s="9">
        <v>253</v>
      </c>
    </row>
    <row r="38" spans="1:3" x14ac:dyDescent="0.25">
      <c r="A38" t="s">
        <v>81</v>
      </c>
      <c r="B38" s="8">
        <v>80</v>
      </c>
      <c r="C38" s="9">
        <v>3</v>
      </c>
    </row>
    <row r="39" spans="1:3" x14ac:dyDescent="0.25">
      <c r="A39" t="s">
        <v>83</v>
      </c>
      <c r="B39" s="8">
        <v>40</v>
      </c>
      <c r="C39" s="9">
        <v>5</v>
      </c>
    </row>
    <row r="40" spans="1:3" x14ac:dyDescent="0.25">
      <c r="A40" t="s">
        <v>85</v>
      </c>
      <c r="B40" s="8">
        <v>4</v>
      </c>
      <c r="C40" s="9">
        <v>13</v>
      </c>
    </row>
    <row r="41" spans="1:3" x14ac:dyDescent="0.25">
      <c r="A41" t="s">
        <v>87</v>
      </c>
      <c r="B41" s="8">
        <v>5</v>
      </c>
      <c r="C41" s="9">
        <v>8</v>
      </c>
    </row>
    <row r="42" spans="1:3" x14ac:dyDescent="0.25">
      <c r="A42" t="s">
        <v>89</v>
      </c>
      <c r="B42" s="8">
        <v>2</v>
      </c>
      <c r="C42" s="9">
        <v>35</v>
      </c>
    </row>
    <row r="43" spans="1:3" x14ac:dyDescent="0.25">
      <c r="A43" t="s">
        <v>93</v>
      </c>
      <c r="B43" s="8">
        <v>10</v>
      </c>
      <c r="C43" s="9">
        <v>7</v>
      </c>
    </row>
    <row r="44" spans="1:3" x14ac:dyDescent="0.25">
      <c r="A44" t="s">
        <v>95</v>
      </c>
      <c r="B44" s="8">
        <v>5</v>
      </c>
      <c r="C44" s="9">
        <v>40</v>
      </c>
    </row>
    <row r="45" spans="1:3" x14ac:dyDescent="0.25">
      <c r="A45" t="s">
        <v>97</v>
      </c>
      <c r="B45" s="8">
        <v>5</v>
      </c>
      <c r="C45" s="9">
        <v>52</v>
      </c>
    </row>
    <row r="46" spans="1:3" x14ac:dyDescent="0.25">
      <c r="A46" t="s">
        <v>101</v>
      </c>
      <c r="B46" s="8">
        <v>5</v>
      </c>
      <c r="C46" s="9">
        <v>50</v>
      </c>
    </row>
    <row r="47" spans="1:3" x14ac:dyDescent="0.25">
      <c r="A47" t="s">
        <v>105</v>
      </c>
      <c r="B47" s="8">
        <v>20</v>
      </c>
      <c r="C47" s="9">
        <v>15</v>
      </c>
    </row>
    <row r="48" spans="1:3" x14ac:dyDescent="0.25">
      <c r="A48" t="s">
        <v>111</v>
      </c>
      <c r="B48" s="8">
        <v>20</v>
      </c>
      <c r="C48" s="9">
        <v>17</v>
      </c>
    </row>
    <row r="49" spans="1:3" x14ac:dyDescent="0.25">
      <c r="A49" t="s">
        <v>113</v>
      </c>
      <c r="B49" s="8">
        <v>20</v>
      </c>
      <c r="C49" s="9">
        <v>12</v>
      </c>
    </row>
    <row r="50" spans="1:3" x14ac:dyDescent="0.25">
      <c r="A50" t="s">
        <v>115</v>
      </c>
      <c r="B50" s="8">
        <v>20</v>
      </c>
      <c r="C50" s="9">
        <v>9</v>
      </c>
    </row>
    <row r="51" spans="1:3" x14ac:dyDescent="0.25">
      <c r="A51" t="s">
        <v>117</v>
      </c>
      <c r="B51" s="8">
        <v>20</v>
      </c>
      <c r="C51" s="9">
        <v>7</v>
      </c>
    </row>
    <row r="52" spans="1:3" x14ac:dyDescent="0.25">
      <c r="A52" t="s">
        <v>119</v>
      </c>
      <c r="B52" s="8">
        <v>20</v>
      </c>
      <c r="C52" s="9">
        <v>3</v>
      </c>
    </row>
    <row r="53" spans="1:3" x14ac:dyDescent="0.25">
      <c r="A53" t="s">
        <v>121</v>
      </c>
      <c r="B53" s="8">
        <v>2</v>
      </c>
      <c r="C53" s="9">
        <v>43</v>
      </c>
    </row>
    <row r="54" spans="1:3" x14ac:dyDescent="0.25">
      <c r="A54" t="s">
        <v>123</v>
      </c>
      <c r="B54" s="8">
        <v>2</v>
      </c>
      <c r="C54" s="9">
        <v>86</v>
      </c>
    </row>
    <row r="55" spans="1:3" x14ac:dyDescent="0.25">
      <c r="A55" t="s">
        <v>125</v>
      </c>
      <c r="B55" s="8">
        <v>10</v>
      </c>
      <c r="C55" s="9">
        <v>13</v>
      </c>
    </row>
    <row r="56" spans="1:3" x14ac:dyDescent="0.25">
      <c r="A56" t="s">
        <v>127</v>
      </c>
      <c r="B56" s="8">
        <v>5</v>
      </c>
      <c r="C56" s="9">
        <v>7</v>
      </c>
    </row>
    <row r="57" spans="1:3" x14ac:dyDescent="0.25">
      <c r="A57" t="s">
        <v>131</v>
      </c>
      <c r="B57" s="8">
        <v>10</v>
      </c>
      <c r="C57" s="9">
        <v>3</v>
      </c>
    </row>
    <row r="58" spans="1:3" x14ac:dyDescent="0.25">
      <c r="A58" t="s">
        <v>133</v>
      </c>
      <c r="B58" s="8">
        <v>2</v>
      </c>
      <c r="C58" s="9">
        <v>4</v>
      </c>
    </row>
    <row r="59" spans="1:3" x14ac:dyDescent="0.25">
      <c r="A59" t="s">
        <v>135</v>
      </c>
      <c r="B59" s="8">
        <v>6</v>
      </c>
      <c r="C59" s="9">
        <v>14</v>
      </c>
    </row>
    <row r="60" spans="1:3" x14ac:dyDescent="0.25">
      <c r="A60" t="s">
        <v>137</v>
      </c>
      <c r="B60" s="8">
        <v>10</v>
      </c>
      <c r="C60" s="9">
        <v>5</v>
      </c>
    </row>
    <row r="61" spans="1:3" x14ac:dyDescent="0.25">
      <c r="A61" t="s">
        <v>139</v>
      </c>
      <c r="B61" s="8">
        <v>10</v>
      </c>
      <c r="C61" s="9">
        <v>4</v>
      </c>
    </row>
    <row r="62" spans="1:3" x14ac:dyDescent="0.25">
      <c r="A62" t="s">
        <v>141</v>
      </c>
      <c r="B62" s="8">
        <v>10</v>
      </c>
      <c r="C62" s="9">
        <v>7</v>
      </c>
    </row>
    <row r="63" spans="1:3" x14ac:dyDescent="0.25">
      <c r="A63" t="s">
        <v>143</v>
      </c>
      <c r="B63" s="8">
        <v>3</v>
      </c>
      <c r="C63" s="9">
        <v>12</v>
      </c>
    </row>
    <row r="64" spans="1:3" x14ac:dyDescent="0.25">
      <c r="A64" t="s">
        <v>145</v>
      </c>
      <c r="B64" s="8">
        <v>10</v>
      </c>
      <c r="C64" s="9">
        <v>19</v>
      </c>
    </row>
    <row r="65" spans="1:3" x14ac:dyDescent="0.25">
      <c r="A65" t="s">
        <v>149</v>
      </c>
      <c r="B65" s="8">
        <v>10</v>
      </c>
      <c r="C65" s="9">
        <v>8</v>
      </c>
    </row>
    <row r="66" spans="1:3" x14ac:dyDescent="0.25">
      <c r="A66" t="s">
        <v>151</v>
      </c>
      <c r="B66" s="8">
        <v>10</v>
      </c>
      <c r="C66" s="9">
        <v>13</v>
      </c>
    </row>
    <row r="67" spans="1:3" x14ac:dyDescent="0.25">
      <c r="A67" t="s">
        <v>153</v>
      </c>
      <c r="B67" s="8">
        <v>10</v>
      </c>
      <c r="C67" s="9">
        <v>9</v>
      </c>
    </row>
    <row r="68" spans="1:3" x14ac:dyDescent="0.25">
      <c r="A68" t="s">
        <v>155</v>
      </c>
      <c r="B68" s="8">
        <v>5</v>
      </c>
      <c r="C68" s="9">
        <v>16</v>
      </c>
    </row>
    <row r="69" spans="1:3" x14ac:dyDescent="0.25">
      <c r="A69" t="s">
        <v>157</v>
      </c>
      <c r="B69" s="8">
        <v>5</v>
      </c>
      <c r="C69" s="9">
        <v>6</v>
      </c>
    </row>
    <row r="70" spans="1:3" x14ac:dyDescent="0.25">
      <c r="A70" t="s">
        <v>159</v>
      </c>
      <c r="B70" s="8">
        <v>500</v>
      </c>
      <c r="C70" s="9">
        <v>2</v>
      </c>
    </row>
    <row r="71" spans="1:3" x14ac:dyDescent="0.25">
      <c r="A71" t="s">
        <v>161</v>
      </c>
      <c r="B71" s="8">
        <v>30</v>
      </c>
      <c r="C71" s="9">
        <v>6</v>
      </c>
    </row>
    <row r="72" spans="1:3" x14ac:dyDescent="0.25">
      <c r="A72" t="s">
        <v>163</v>
      </c>
      <c r="B72" s="8">
        <v>30</v>
      </c>
      <c r="C72" s="9">
        <v>27</v>
      </c>
    </row>
    <row r="73" spans="1:3" x14ac:dyDescent="0.25">
      <c r="A73" t="s">
        <v>165</v>
      </c>
      <c r="B73" s="8">
        <v>30</v>
      </c>
      <c r="C73" s="9">
        <v>29</v>
      </c>
    </row>
    <row r="74" spans="1:3" x14ac:dyDescent="0.25">
      <c r="A74" t="s">
        <v>167</v>
      </c>
      <c r="B74" s="8">
        <v>10</v>
      </c>
      <c r="C74" s="9">
        <v>5</v>
      </c>
    </row>
    <row r="75" spans="1:3" x14ac:dyDescent="0.25">
      <c r="A75" s="11" t="s">
        <v>169</v>
      </c>
      <c r="B75" s="8">
        <v>10</v>
      </c>
      <c r="C75" s="9">
        <v>5</v>
      </c>
    </row>
    <row r="76" spans="1:3" x14ac:dyDescent="0.25">
      <c r="A76" t="s">
        <v>171</v>
      </c>
      <c r="B76" s="8">
        <v>10</v>
      </c>
      <c r="C76" s="9">
        <v>5</v>
      </c>
    </row>
    <row r="77" spans="1:3" x14ac:dyDescent="0.25">
      <c r="A77" t="s">
        <v>173</v>
      </c>
      <c r="B77" s="8">
        <v>30</v>
      </c>
      <c r="C77" s="9">
        <v>3</v>
      </c>
    </row>
    <row r="78" spans="1:3" x14ac:dyDescent="0.25">
      <c r="A78" t="s">
        <v>175</v>
      </c>
      <c r="B78" s="8">
        <v>30</v>
      </c>
      <c r="C78" s="9">
        <v>6</v>
      </c>
    </row>
    <row r="79" spans="1:3" x14ac:dyDescent="0.25">
      <c r="A79" t="s">
        <v>177</v>
      </c>
      <c r="B79" s="8">
        <v>30</v>
      </c>
      <c r="C79" s="9">
        <v>4</v>
      </c>
    </row>
    <row r="80" spans="1:3" x14ac:dyDescent="0.25">
      <c r="A80" t="s">
        <v>179</v>
      </c>
      <c r="B80" s="8">
        <v>20</v>
      </c>
      <c r="C80" s="9">
        <v>5</v>
      </c>
    </row>
    <row r="81" spans="1:3" x14ac:dyDescent="0.25">
      <c r="A81" t="s">
        <v>185</v>
      </c>
      <c r="B81" s="8">
        <v>5</v>
      </c>
      <c r="C81" s="9">
        <v>48</v>
      </c>
    </row>
    <row r="82" spans="1:3" x14ac:dyDescent="0.25">
      <c r="A82" t="s">
        <v>187</v>
      </c>
      <c r="B82" s="8">
        <v>5</v>
      </c>
      <c r="C82" s="9">
        <v>50</v>
      </c>
    </row>
    <row r="83" spans="1:3" x14ac:dyDescent="0.25">
      <c r="A83" s="11" t="s">
        <v>189</v>
      </c>
      <c r="B83" s="8">
        <v>10</v>
      </c>
      <c r="C83" s="9">
        <v>40</v>
      </c>
    </row>
    <row r="84" spans="1:3" x14ac:dyDescent="0.25">
      <c r="A84" t="s">
        <v>191</v>
      </c>
      <c r="B84" s="8">
        <v>3</v>
      </c>
      <c r="C84" s="9">
        <v>27</v>
      </c>
    </row>
    <row r="85" spans="1:3" x14ac:dyDescent="0.25">
      <c r="A85" t="s">
        <v>193</v>
      </c>
      <c r="B85" s="8">
        <v>5</v>
      </c>
      <c r="C85" s="9">
        <v>21</v>
      </c>
    </row>
    <row r="86" spans="1:3" x14ac:dyDescent="0.25">
      <c r="A86" t="s">
        <v>195</v>
      </c>
      <c r="B86" s="8">
        <v>3</v>
      </c>
      <c r="C86" s="9">
        <v>45</v>
      </c>
    </row>
    <row r="87" spans="1:3" x14ac:dyDescent="0.25">
      <c r="A87" t="s">
        <v>197</v>
      </c>
      <c r="B87" s="8">
        <v>5</v>
      </c>
      <c r="C87" s="9">
        <v>26</v>
      </c>
    </row>
    <row r="88" spans="1:3" x14ac:dyDescent="0.25">
      <c r="A88" t="s">
        <v>199</v>
      </c>
      <c r="B88" s="8">
        <v>3</v>
      </c>
      <c r="C88" s="9">
        <v>17</v>
      </c>
    </row>
    <row r="89" spans="1:3" x14ac:dyDescent="0.25">
      <c r="A89" t="s">
        <v>201</v>
      </c>
      <c r="B89" s="8">
        <v>5</v>
      </c>
      <c r="C89" s="9">
        <v>17</v>
      </c>
    </row>
    <row r="90" spans="1:3" x14ac:dyDescent="0.25">
      <c r="A90" t="s">
        <v>203</v>
      </c>
      <c r="B90" s="8">
        <v>3</v>
      </c>
      <c r="C90" s="9">
        <v>35</v>
      </c>
    </row>
    <row r="91" spans="1:3" x14ac:dyDescent="0.25">
      <c r="A91" t="s">
        <v>207</v>
      </c>
      <c r="B91" s="8">
        <v>5</v>
      </c>
      <c r="C91" s="9">
        <v>23</v>
      </c>
    </row>
    <row r="92" spans="1:3" x14ac:dyDescent="0.25">
      <c r="A92" t="s">
        <v>209</v>
      </c>
      <c r="B92" s="8">
        <v>10</v>
      </c>
      <c r="C92" s="9">
        <v>52</v>
      </c>
    </row>
    <row r="93" spans="1:3" x14ac:dyDescent="0.25">
      <c r="A93" t="s">
        <v>211</v>
      </c>
      <c r="B93" s="8">
        <v>3</v>
      </c>
      <c r="C93" s="9">
        <v>50</v>
      </c>
    </row>
    <row r="94" spans="1:3" x14ac:dyDescent="0.25">
      <c r="A94" t="s">
        <v>213</v>
      </c>
      <c r="B94" s="8">
        <v>10</v>
      </c>
      <c r="C94" s="9">
        <v>64</v>
      </c>
    </row>
    <row r="95" spans="1:3" x14ac:dyDescent="0.25">
      <c r="A95" t="s">
        <v>215</v>
      </c>
      <c r="B95" s="8">
        <v>10</v>
      </c>
      <c r="C95" s="9">
        <v>18</v>
      </c>
    </row>
    <row r="96" spans="1:3" x14ac:dyDescent="0.25">
      <c r="A96" t="s">
        <v>217</v>
      </c>
      <c r="B96" s="8">
        <v>3</v>
      </c>
      <c r="C96" s="9">
        <v>15</v>
      </c>
    </row>
    <row r="97" spans="1:3" x14ac:dyDescent="0.25">
      <c r="A97" t="s">
        <v>219</v>
      </c>
      <c r="B97" s="8">
        <v>3</v>
      </c>
      <c r="C97" s="9">
        <v>39</v>
      </c>
    </row>
    <row r="98" spans="1:3" x14ac:dyDescent="0.25">
      <c r="A98" t="s">
        <v>221</v>
      </c>
      <c r="B98" s="8">
        <v>3</v>
      </c>
      <c r="C98" s="9">
        <v>20</v>
      </c>
    </row>
    <row r="99" spans="1:3" x14ac:dyDescent="0.25">
      <c r="A99" t="s">
        <v>223</v>
      </c>
      <c r="B99" s="8">
        <v>3</v>
      </c>
      <c r="C99" s="9">
        <v>12</v>
      </c>
    </row>
    <row r="100" spans="1:3" x14ac:dyDescent="0.25">
      <c r="A100" t="s">
        <v>225</v>
      </c>
      <c r="B100" s="8">
        <v>3</v>
      </c>
      <c r="C100" s="9">
        <v>12</v>
      </c>
    </row>
    <row r="101" spans="1:3" x14ac:dyDescent="0.25">
      <c r="A101" t="s">
        <v>227</v>
      </c>
      <c r="B101" s="8">
        <v>5</v>
      </c>
      <c r="C101" s="9">
        <v>55</v>
      </c>
    </row>
    <row r="102" spans="1:3" x14ac:dyDescent="0.25">
      <c r="A102" t="s">
        <v>229</v>
      </c>
      <c r="B102" s="8">
        <v>3</v>
      </c>
      <c r="C102" s="9">
        <v>23</v>
      </c>
    </row>
    <row r="103" spans="1:3" x14ac:dyDescent="0.25">
      <c r="A103" t="s">
        <v>231</v>
      </c>
      <c r="B103" s="8">
        <v>5</v>
      </c>
      <c r="C103" s="9">
        <v>23</v>
      </c>
    </row>
    <row r="104" spans="1:3" x14ac:dyDescent="0.25">
      <c r="A104" t="s">
        <v>233</v>
      </c>
      <c r="B104" s="8">
        <v>2</v>
      </c>
      <c r="C104" s="9">
        <v>21</v>
      </c>
    </row>
    <row r="105" spans="1:3" x14ac:dyDescent="0.25">
      <c r="A105" t="s">
        <v>235</v>
      </c>
      <c r="B105" s="8">
        <v>5</v>
      </c>
      <c r="C105" s="9">
        <v>24</v>
      </c>
    </row>
    <row r="106" spans="1:3" x14ac:dyDescent="0.25">
      <c r="A106" t="s">
        <v>237</v>
      </c>
      <c r="B106" s="8">
        <v>5</v>
      </c>
      <c r="C106" s="9">
        <v>43</v>
      </c>
    </row>
    <row r="107" spans="1:3" x14ac:dyDescent="0.25">
      <c r="A107" t="s">
        <v>239</v>
      </c>
      <c r="B107" s="8">
        <v>3</v>
      </c>
      <c r="C107" s="9">
        <v>16</v>
      </c>
    </row>
    <row r="108" spans="1:3" x14ac:dyDescent="0.25">
      <c r="A108" t="s">
        <v>241</v>
      </c>
      <c r="B108" s="8">
        <v>3</v>
      </c>
      <c r="C108" s="9">
        <v>26</v>
      </c>
    </row>
    <row r="109" spans="1:3" x14ac:dyDescent="0.25">
      <c r="A109" t="s">
        <v>243</v>
      </c>
      <c r="B109" s="8">
        <v>3</v>
      </c>
      <c r="C109" s="9">
        <v>36</v>
      </c>
    </row>
    <row r="110" spans="1:3" x14ac:dyDescent="0.25">
      <c r="A110" t="s">
        <v>245</v>
      </c>
      <c r="B110" s="8">
        <v>5</v>
      </c>
      <c r="C110" s="9">
        <v>25</v>
      </c>
    </row>
    <row r="111" spans="1:3" x14ac:dyDescent="0.25">
      <c r="A111" t="s">
        <v>247</v>
      </c>
      <c r="B111" s="8">
        <v>3</v>
      </c>
      <c r="C111" s="9">
        <v>25</v>
      </c>
    </row>
    <row r="112" spans="1:3" x14ac:dyDescent="0.25">
      <c r="A112" t="s">
        <v>249</v>
      </c>
      <c r="B112" s="8">
        <v>3</v>
      </c>
      <c r="C112" s="9">
        <v>30</v>
      </c>
    </row>
    <row r="113" spans="1:3" x14ac:dyDescent="0.25">
      <c r="A113" t="s">
        <v>251</v>
      </c>
      <c r="B113" s="8">
        <v>3</v>
      </c>
      <c r="C113" s="9">
        <v>38</v>
      </c>
    </row>
    <row r="114" spans="1:3" x14ac:dyDescent="0.25">
      <c r="A114" t="s">
        <v>253</v>
      </c>
      <c r="B114" s="8">
        <v>10</v>
      </c>
      <c r="C114" s="9">
        <v>11</v>
      </c>
    </row>
    <row r="115" spans="1:3" x14ac:dyDescent="0.25">
      <c r="A115" t="s">
        <v>255</v>
      </c>
      <c r="B115" s="8">
        <v>10</v>
      </c>
      <c r="C115" s="9">
        <v>7</v>
      </c>
    </row>
    <row r="116" spans="1:3" x14ac:dyDescent="0.25">
      <c r="A116" t="s">
        <v>257</v>
      </c>
      <c r="B116" s="8">
        <v>20</v>
      </c>
      <c r="C116" s="9">
        <v>6</v>
      </c>
    </row>
    <row r="117" spans="1:3" x14ac:dyDescent="0.25">
      <c r="A117" t="s">
        <v>259</v>
      </c>
      <c r="B117" s="8">
        <v>10</v>
      </c>
      <c r="C117" s="9">
        <v>5</v>
      </c>
    </row>
    <row r="118" spans="1:3" x14ac:dyDescent="0.25">
      <c r="A118" t="s">
        <v>261</v>
      </c>
      <c r="B118" s="8">
        <v>10</v>
      </c>
      <c r="C118" s="9">
        <v>7</v>
      </c>
    </row>
    <row r="119" spans="1:3" x14ac:dyDescent="0.25">
      <c r="A119" t="s">
        <v>263</v>
      </c>
      <c r="B119" s="8">
        <v>8</v>
      </c>
      <c r="C119" s="9">
        <v>5</v>
      </c>
    </row>
    <row r="120" spans="1:3" x14ac:dyDescent="0.25">
      <c r="A120" t="s">
        <v>265</v>
      </c>
      <c r="B120" s="8">
        <v>30</v>
      </c>
      <c r="C120" s="9">
        <v>3</v>
      </c>
    </row>
    <row r="121" spans="1:3" x14ac:dyDescent="0.25">
      <c r="A121" t="s">
        <v>267</v>
      </c>
      <c r="B121" s="8">
        <v>30</v>
      </c>
      <c r="C121" s="9">
        <v>3</v>
      </c>
    </row>
    <row r="122" spans="1:3" x14ac:dyDescent="0.25">
      <c r="A122" t="s">
        <v>269</v>
      </c>
      <c r="B122" s="8">
        <v>30</v>
      </c>
      <c r="C122" s="9">
        <v>3</v>
      </c>
    </row>
    <row r="123" spans="1:3" x14ac:dyDescent="0.25">
      <c r="A123" t="s">
        <v>271</v>
      </c>
      <c r="B123" s="8">
        <v>10</v>
      </c>
      <c r="C123" s="9">
        <v>10</v>
      </c>
    </row>
    <row r="124" spans="1:3" x14ac:dyDescent="0.25">
      <c r="A124" t="s">
        <v>273</v>
      </c>
      <c r="B124" s="8">
        <v>10</v>
      </c>
      <c r="C124" s="9">
        <v>7</v>
      </c>
    </row>
    <row r="125" spans="1:3" x14ac:dyDescent="0.25">
      <c r="A125" t="s">
        <v>275</v>
      </c>
      <c r="B125" s="8">
        <v>2</v>
      </c>
      <c r="C125" s="9">
        <v>44</v>
      </c>
    </row>
    <row r="126" spans="1:3" x14ac:dyDescent="0.25">
      <c r="A126" t="s">
        <v>277</v>
      </c>
      <c r="B126" s="8">
        <v>2</v>
      </c>
      <c r="C126" s="9">
        <v>41</v>
      </c>
    </row>
    <row r="127" spans="1:3" x14ac:dyDescent="0.25">
      <c r="A127" t="s">
        <v>279</v>
      </c>
      <c r="B127" s="8">
        <v>10</v>
      </c>
      <c r="C127" s="9">
        <v>6</v>
      </c>
    </row>
  </sheetData>
  <autoFilter ref="B1:B127" xr:uid="{41B3F0D4-8A15-48CC-B623-D56B24973E5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7C3AC-127C-43A9-B343-32A74BDBD6CD}">
  <dimension ref="A1:D70"/>
  <sheetViews>
    <sheetView topLeftCell="A55" workbookViewId="0">
      <selection activeCell="D71" sqref="D71"/>
    </sheetView>
  </sheetViews>
  <sheetFormatPr baseColWidth="10" defaultRowHeight="15" x14ac:dyDescent="0.25"/>
  <cols>
    <col min="1" max="1" width="15.7109375" bestFit="1" customWidth="1"/>
    <col min="2" max="2" width="11.42578125" style="7"/>
    <col min="3" max="3" width="11.42578125" style="9"/>
    <col min="4" max="4" width="11.85546875" bestFit="1" customWidth="1"/>
  </cols>
  <sheetData>
    <row r="1" spans="1:4" ht="15.75" thickBot="1" x14ac:dyDescent="0.3">
      <c r="A1" s="1" t="s">
        <v>0</v>
      </c>
      <c r="B1" s="5" t="s">
        <v>283</v>
      </c>
      <c r="C1" s="10" t="s">
        <v>287</v>
      </c>
    </row>
    <row r="2" spans="1:4" x14ac:dyDescent="0.25">
      <c r="A2" t="s">
        <v>11</v>
      </c>
      <c r="B2" s="8">
        <v>3</v>
      </c>
      <c r="C2" s="9">
        <v>22</v>
      </c>
      <c r="D2">
        <f>+C2*B2</f>
        <v>66</v>
      </c>
    </row>
    <row r="3" spans="1:4" x14ac:dyDescent="0.25">
      <c r="A3" t="s">
        <v>13</v>
      </c>
      <c r="B3" s="8">
        <v>2</v>
      </c>
      <c r="C3" s="9">
        <v>92</v>
      </c>
      <c r="D3">
        <f t="shared" ref="D3:D66" si="0">+C3*B3</f>
        <v>184</v>
      </c>
    </row>
    <row r="4" spans="1:4" x14ac:dyDescent="0.25">
      <c r="A4" t="s">
        <v>15</v>
      </c>
      <c r="B4" s="8">
        <v>2</v>
      </c>
      <c r="C4" s="9">
        <v>81</v>
      </c>
      <c r="D4">
        <f t="shared" si="0"/>
        <v>162</v>
      </c>
    </row>
    <row r="5" spans="1:4" x14ac:dyDescent="0.25">
      <c r="A5" t="s">
        <v>19</v>
      </c>
      <c r="B5" s="8">
        <v>5</v>
      </c>
      <c r="C5" s="9">
        <v>9</v>
      </c>
      <c r="D5">
        <f t="shared" si="0"/>
        <v>45</v>
      </c>
    </row>
    <row r="6" spans="1:4" x14ac:dyDescent="0.25">
      <c r="A6" t="s">
        <v>21</v>
      </c>
      <c r="B6" s="8">
        <v>3</v>
      </c>
      <c r="C6" s="9">
        <v>57</v>
      </c>
      <c r="D6">
        <f t="shared" si="0"/>
        <v>171</v>
      </c>
    </row>
    <row r="7" spans="1:4" x14ac:dyDescent="0.25">
      <c r="A7" t="s">
        <v>23</v>
      </c>
      <c r="B7" s="8">
        <v>2</v>
      </c>
      <c r="C7" s="9">
        <v>39</v>
      </c>
      <c r="D7">
        <f t="shared" si="0"/>
        <v>78</v>
      </c>
    </row>
    <row r="8" spans="1:4" x14ac:dyDescent="0.25">
      <c r="A8" t="s">
        <v>27</v>
      </c>
      <c r="B8" s="8">
        <v>3</v>
      </c>
      <c r="C8" s="9">
        <v>63</v>
      </c>
      <c r="D8">
        <f t="shared" si="0"/>
        <v>189</v>
      </c>
    </row>
    <row r="9" spans="1:4" x14ac:dyDescent="0.25">
      <c r="A9" t="s">
        <v>29</v>
      </c>
      <c r="B9" s="8">
        <v>2</v>
      </c>
      <c r="C9" s="9">
        <v>90</v>
      </c>
      <c r="D9">
        <f t="shared" si="0"/>
        <v>180</v>
      </c>
    </row>
    <row r="10" spans="1:4" x14ac:dyDescent="0.25">
      <c r="A10" t="s">
        <v>33</v>
      </c>
      <c r="B10" s="8">
        <v>3</v>
      </c>
      <c r="C10" s="9">
        <v>6</v>
      </c>
      <c r="D10">
        <f t="shared" si="0"/>
        <v>18</v>
      </c>
    </row>
    <row r="11" spans="1:4" x14ac:dyDescent="0.25">
      <c r="A11" t="s">
        <v>37</v>
      </c>
      <c r="B11" s="8">
        <v>3</v>
      </c>
      <c r="C11" s="9">
        <v>86</v>
      </c>
      <c r="D11">
        <f t="shared" si="0"/>
        <v>258</v>
      </c>
    </row>
    <row r="12" spans="1:4" x14ac:dyDescent="0.25">
      <c r="A12" t="s">
        <v>51</v>
      </c>
      <c r="B12" s="8">
        <v>2</v>
      </c>
      <c r="C12" s="9">
        <v>155</v>
      </c>
      <c r="D12">
        <f t="shared" si="0"/>
        <v>310</v>
      </c>
    </row>
    <row r="13" spans="1:4" x14ac:dyDescent="0.25">
      <c r="A13" t="s">
        <v>53</v>
      </c>
      <c r="B13" s="8">
        <v>2</v>
      </c>
      <c r="C13" s="9">
        <v>44</v>
      </c>
      <c r="D13">
        <f t="shared" si="0"/>
        <v>88</v>
      </c>
    </row>
    <row r="14" spans="1:4" x14ac:dyDescent="0.25">
      <c r="A14" t="s">
        <v>69</v>
      </c>
      <c r="B14" s="8">
        <v>2</v>
      </c>
      <c r="C14" s="9">
        <v>23</v>
      </c>
      <c r="D14">
        <f t="shared" si="0"/>
        <v>46</v>
      </c>
    </row>
    <row r="15" spans="1:4" x14ac:dyDescent="0.25">
      <c r="A15" t="s">
        <v>71</v>
      </c>
      <c r="B15" s="8">
        <v>5</v>
      </c>
      <c r="C15" s="9">
        <v>64</v>
      </c>
      <c r="D15">
        <f t="shared" si="0"/>
        <v>320</v>
      </c>
    </row>
    <row r="16" spans="1:4" x14ac:dyDescent="0.25">
      <c r="A16" t="s">
        <v>73</v>
      </c>
      <c r="B16" s="8">
        <v>3</v>
      </c>
      <c r="C16" s="9">
        <v>34</v>
      </c>
      <c r="D16">
        <f t="shared" si="0"/>
        <v>102</v>
      </c>
    </row>
    <row r="17" spans="1:4" x14ac:dyDescent="0.25">
      <c r="A17" t="s">
        <v>79</v>
      </c>
      <c r="B17" s="8">
        <v>2</v>
      </c>
      <c r="C17" s="9">
        <v>253</v>
      </c>
      <c r="D17">
        <f t="shared" si="0"/>
        <v>506</v>
      </c>
    </row>
    <row r="18" spans="1:4" x14ac:dyDescent="0.25">
      <c r="A18" t="s">
        <v>81</v>
      </c>
      <c r="B18" s="8">
        <v>80</v>
      </c>
      <c r="C18" s="9">
        <v>3</v>
      </c>
      <c r="D18">
        <f t="shared" si="0"/>
        <v>240</v>
      </c>
    </row>
    <row r="19" spans="1:4" x14ac:dyDescent="0.25">
      <c r="A19" t="s">
        <v>83</v>
      </c>
      <c r="B19" s="8">
        <v>80</v>
      </c>
      <c r="C19" s="9">
        <v>5</v>
      </c>
      <c r="D19">
        <f t="shared" si="0"/>
        <v>400</v>
      </c>
    </row>
    <row r="20" spans="1:4" x14ac:dyDescent="0.25">
      <c r="A20" t="s">
        <v>89</v>
      </c>
      <c r="B20" s="8">
        <v>1</v>
      </c>
      <c r="C20" s="9">
        <v>35</v>
      </c>
      <c r="D20">
        <f t="shared" si="0"/>
        <v>35</v>
      </c>
    </row>
    <row r="21" spans="1:4" x14ac:dyDescent="0.25">
      <c r="A21" t="s">
        <v>97</v>
      </c>
      <c r="B21" s="8">
        <v>5</v>
      </c>
      <c r="C21" s="9">
        <v>52</v>
      </c>
      <c r="D21">
        <f t="shared" si="0"/>
        <v>260</v>
      </c>
    </row>
    <row r="22" spans="1:4" x14ac:dyDescent="0.25">
      <c r="A22" t="s">
        <v>101</v>
      </c>
      <c r="B22" s="8">
        <v>3</v>
      </c>
      <c r="C22" s="9">
        <v>50</v>
      </c>
      <c r="D22">
        <f t="shared" si="0"/>
        <v>150</v>
      </c>
    </row>
    <row r="23" spans="1:4" x14ac:dyDescent="0.25">
      <c r="A23" t="s">
        <v>105</v>
      </c>
      <c r="B23" s="8">
        <v>10</v>
      </c>
      <c r="C23" s="9">
        <v>15</v>
      </c>
      <c r="D23">
        <f t="shared" si="0"/>
        <v>150</v>
      </c>
    </row>
    <row r="24" spans="1:4" x14ac:dyDescent="0.25">
      <c r="A24" t="s">
        <v>111</v>
      </c>
      <c r="B24" s="8">
        <v>30</v>
      </c>
      <c r="C24" s="9">
        <v>17</v>
      </c>
      <c r="D24">
        <f t="shared" si="0"/>
        <v>510</v>
      </c>
    </row>
    <row r="25" spans="1:4" x14ac:dyDescent="0.25">
      <c r="A25" t="s">
        <v>113</v>
      </c>
      <c r="B25" s="8">
        <v>10</v>
      </c>
      <c r="C25" s="9">
        <v>12</v>
      </c>
      <c r="D25">
        <f t="shared" si="0"/>
        <v>120</v>
      </c>
    </row>
    <row r="26" spans="1:4" x14ac:dyDescent="0.25">
      <c r="A26" t="s">
        <v>115</v>
      </c>
      <c r="B26" s="8">
        <v>10</v>
      </c>
      <c r="C26" s="9">
        <v>9</v>
      </c>
      <c r="D26">
        <f t="shared" si="0"/>
        <v>90</v>
      </c>
    </row>
    <row r="27" spans="1:4" x14ac:dyDescent="0.25">
      <c r="A27" t="s">
        <v>117</v>
      </c>
      <c r="B27" s="8">
        <v>10</v>
      </c>
      <c r="C27" s="9">
        <v>7</v>
      </c>
      <c r="D27">
        <f t="shared" si="0"/>
        <v>70</v>
      </c>
    </row>
    <row r="28" spans="1:4" x14ac:dyDescent="0.25">
      <c r="A28" t="s">
        <v>119</v>
      </c>
      <c r="B28" s="8">
        <v>10</v>
      </c>
      <c r="C28" s="9">
        <v>3</v>
      </c>
      <c r="D28">
        <f t="shared" si="0"/>
        <v>30</v>
      </c>
    </row>
    <row r="29" spans="1:4" x14ac:dyDescent="0.25">
      <c r="A29" t="s">
        <v>125</v>
      </c>
      <c r="B29" s="8">
        <v>5</v>
      </c>
      <c r="C29" s="9">
        <v>13</v>
      </c>
      <c r="D29">
        <f t="shared" si="0"/>
        <v>65</v>
      </c>
    </row>
    <row r="30" spans="1:4" x14ac:dyDescent="0.25">
      <c r="A30" t="s">
        <v>127</v>
      </c>
      <c r="B30" s="8">
        <v>5</v>
      </c>
      <c r="C30" s="9">
        <v>7</v>
      </c>
      <c r="D30">
        <f t="shared" si="0"/>
        <v>35</v>
      </c>
    </row>
    <row r="31" spans="1:4" x14ac:dyDescent="0.25">
      <c r="A31" t="s">
        <v>131</v>
      </c>
      <c r="B31" s="8">
        <v>3</v>
      </c>
      <c r="C31" s="9">
        <v>3</v>
      </c>
      <c r="D31">
        <f t="shared" si="0"/>
        <v>9</v>
      </c>
    </row>
    <row r="32" spans="1:4" x14ac:dyDescent="0.25">
      <c r="A32" t="s">
        <v>133</v>
      </c>
      <c r="B32" s="8">
        <v>3</v>
      </c>
      <c r="C32" s="9">
        <v>4</v>
      </c>
      <c r="D32">
        <f t="shared" si="0"/>
        <v>12</v>
      </c>
    </row>
    <row r="33" spans="1:4" x14ac:dyDescent="0.25">
      <c r="A33" t="s">
        <v>145</v>
      </c>
      <c r="B33" s="8">
        <v>20</v>
      </c>
      <c r="C33" s="9">
        <v>19</v>
      </c>
      <c r="D33">
        <f t="shared" si="0"/>
        <v>380</v>
      </c>
    </row>
    <row r="34" spans="1:4" x14ac:dyDescent="0.25">
      <c r="A34" t="s">
        <v>149</v>
      </c>
      <c r="B34" s="8">
        <v>10</v>
      </c>
      <c r="C34" s="9">
        <v>8</v>
      </c>
      <c r="D34">
        <f t="shared" si="0"/>
        <v>80</v>
      </c>
    </row>
    <row r="35" spans="1:4" x14ac:dyDescent="0.25">
      <c r="A35" t="s">
        <v>151</v>
      </c>
      <c r="B35" s="8">
        <v>10</v>
      </c>
      <c r="C35" s="9">
        <v>13</v>
      </c>
      <c r="D35">
        <f t="shared" si="0"/>
        <v>130</v>
      </c>
    </row>
    <row r="36" spans="1:4" x14ac:dyDescent="0.25">
      <c r="A36" t="s">
        <v>153</v>
      </c>
      <c r="B36" s="8">
        <v>15</v>
      </c>
      <c r="C36" s="9">
        <v>9</v>
      </c>
      <c r="D36">
        <f t="shared" si="0"/>
        <v>135</v>
      </c>
    </row>
    <row r="37" spans="1:4" x14ac:dyDescent="0.25">
      <c r="A37" t="s">
        <v>155</v>
      </c>
      <c r="B37" s="8">
        <v>5</v>
      </c>
      <c r="C37" s="9">
        <v>16</v>
      </c>
      <c r="D37">
        <f t="shared" si="0"/>
        <v>80</v>
      </c>
    </row>
    <row r="38" spans="1:4" x14ac:dyDescent="0.25">
      <c r="A38" t="s">
        <v>157</v>
      </c>
      <c r="B38" s="8">
        <v>5</v>
      </c>
      <c r="C38" s="9">
        <v>6</v>
      </c>
      <c r="D38">
        <f t="shared" si="0"/>
        <v>30</v>
      </c>
    </row>
    <row r="39" spans="1:4" x14ac:dyDescent="0.25">
      <c r="A39" t="s">
        <v>159</v>
      </c>
      <c r="B39" s="8">
        <v>50</v>
      </c>
      <c r="C39" s="9">
        <v>2</v>
      </c>
      <c r="D39">
        <f t="shared" si="0"/>
        <v>100</v>
      </c>
    </row>
    <row r="40" spans="1:4" x14ac:dyDescent="0.25">
      <c r="A40" t="s">
        <v>161</v>
      </c>
      <c r="B40" s="8">
        <v>5</v>
      </c>
      <c r="C40" s="9">
        <v>6</v>
      </c>
      <c r="D40">
        <f t="shared" si="0"/>
        <v>30</v>
      </c>
    </row>
    <row r="41" spans="1:4" x14ac:dyDescent="0.25">
      <c r="A41" t="s">
        <v>163</v>
      </c>
      <c r="B41" s="8">
        <v>12</v>
      </c>
      <c r="C41" s="9">
        <v>27</v>
      </c>
      <c r="D41">
        <f t="shared" si="0"/>
        <v>324</v>
      </c>
    </row>
    <row r="42" spans="1:4" x14ac:dyDescent="0.25">
      <c r="A42" t="s">
        <v>165</v>
      </c>
      <c r="B42" s="8">
        <v>16</v>
      </c>
      <c r="C42" s="9">
        <v>29</v>
      </c>
      <c r="D42">
        <f t="shared" si="0"/>
        <v>464</v>
      </c>
    </row>
    <row r="43" spans="1:4" x14ac:dyDescent="0.25">
      <c r="A43" t="s">
        <v>167</v>
      </c>
      <c r="B43" s="8">
        <v>10</v>
      </c>
      <c r="C43" s="9">
        <v>5</v>
      </c>
      <c r="D43">
        <f t="shared" si="0"/>
        <v>50</v>
      </c>
    </row>
    <row r="44" spans="1:4" x14ac:dyDescent="0.25">
      <c r="A44" s="11" t="s">
        <v>169</v>
      </c>
      <c r="B44" s="8">
        <v>10</v>
      </c>
      <c r="C44" s="9">
        <v>5</v>
      </c>
      <c r="D44">
        <f t="shared" si="0"/>
        <v>50</v>
      </c>
    </row>
    <row r="45" spans="1:4" x14ac:dyDescent="0.25">
      <c r="A45" t="s">
        <v>171</v>
      </c>
      <c r="B45" s="8">
        <v>10</v>
      </c>
      <c r="C45" s="9">
        <v>5</v>
      </c>
      <c r="D45">
        <f t="shared" si="0"/>
        <v>50</v>
      </c>
    </row>
    <row r="46" spans="1:4" x14ac:dyDescent="0.25">
      <c r="A46" t="s">
        <v>173</v>
      </c>
      <c r="B46" s="8">
        <v>20</v>
      </c>
      <c r="C46" s="9">
        <v>3</v>
      </c>
      <c r="D46">
        <f t="shared" si="0"/>
        <v>60</v>
      </c>
    </row>
    <row r="47" spans="1:4" x14ac:dyDescent="0.25">
      <c r="A47" t="s">
        <v>175</v>
      </c>
      <c r="B47" s="8">
        <v>10</v>
      </c>
      <c r="C47" s="9">
        <v>6</v>
      </c>
      <c r="D47">
        <f t="shared" si="0"/>
        <v>60</v>
      </c>
    </row>
    <row r="48" spans="1:4" x14ac:dyDescent="0.25">
      <c r="A48" t="s">
        <v>177</v>
      </c>
      <c r="B48" s="8">
        <v>5</v>
      </c>
      <c r="C48" s="9">
        <v>4</v>
      </c>
      <c r="D48">
        <f t="shared" si="0"/>
        <v>20</v>
      </c>
    </row>
    <row r="49" spans="1:4" x14ac:dyDescent="0.25">
      <c r="A49" t="s">
        <v>179</v>
      </c>
      <c r="B49" s="8">
        <v>5</v>
      </c>
      <c r="C49" s="9">
        <v>5</v>
      </c>
      <c r="D49">
        <f t="shared" si="0"/>
        <v>25</v>
      </c>
    </row>
    <row r="50" spans="1:4" x14ac:dyDescent="0.25">
      <c r="A50" s="11" t="s">
        <v>189</v>
      </c>
      <c r="B50" s="8">
        <v>5</v>
      </c>
      <c r="C50" s="9">
        <v>40</v>
      </c>
      <c r="D50">
        <f t="shared" si="0"/>
        <v>200</v>
      </c>
    </row>
    <row r="51" spans="1:4" x14ac:dyDescent="0.25">
      <c r="A51" t="s">
        <v>207</v>
      </c>
      <c r="B51" s="8">
        <v>5</v>
      </c>
      <c r="C51" s="9">
        <v>23</v>
      </c>
      <c r="D51">
        <f t="shared" si="0"/>
        <v>115</v>
      </c>
    </row>
    <row r="52" spans="1:4" x14ac:dyDescent="0.25">
      <c r="A52" t="s">
        <v>215</v>
      </c>
      <c r="B52" s="8">
        <v>10</v>
      </c>
      <c r="C52" s="9">
        <v>18</v>
      </c>
      <c r="D52">
        <f t="shared" si="0"/>
        <v>180</v>
      </c>
    </row>
    <row r="53" spans="1:4" x14ac:dyDescent="0.25">
      <c r="A53" t="s">
        <v>217</v>
      </c>
      <c r="B53" s="8">
        <v>4</v>
      </c>
      <c r="C53" s="9">
        <v>15</v>
      </c>
      <c r="D53">
        <f t="shared" si="0"/>
        <v>60</v>
      </c>
    </row>
    <row r="54" spans="1:4" x14ac:dyDescent="0.25">
      <c r="A54" t="s">
        <v>219</v>
      </c>
      <c r="B54" s="8">
        <v>2</v>
      </c>
      <c r="C54" s="9">
        <v>39</v>
      </c>
      <c r="D54">
        <f t="shared" si="0"/>
        <v>78</v>
      </c>
    </row>
    <row r="55" spans="1:4" x14ac:dyDescent="0.25">
      <c r="A55" t="s">
        <v>227</v>
      </c>
      <c r="B55" s="8">
        <v>5</v>
      </c>
      <c r="C55" s="9">
        <v>55</v>
      </c>
      <c r="D55">
        <f t="shared" si="0"/>
        <v>275</v>
      </c>
    </row>
    <row r="56" spans="1:4" x14ac:dyDescent="0.25">
      <c r="A56" t="s">
        <v>229</v>
      </c>
      <c r="B56" s="8">
        <v>2</v>
      </c>
      <c r="C56" s="9">
        <v>23</v>
      </c>
      <c r="D56">
        <f t="shared" si="0"/>
        <v>46</v>
      </c>
    </row>
    <row r="57" spans="1:4" x14ac:dyDescent="0.25">
      <c r="A57" t="s">
        <v>231</v>
      </c>
      <c r="B57" s="8">
        <v>3</v>
      </c>
      <c r="C57" s="9">
        <v>23</v>
      </c>
      <c r="D57">
        <f t="shared" si="0"/>
        <v>69</v>
      </c>
    </row>
    <row r="58" spans="1:4" x14ac:dyDescent="0.25">
      <c r="A58" t="s">
        <v>243</v>
      </c>
      <c r="B58" s="8">
        <v>3</v>
      </c>
      <c r="C58" s="9">
        <v>36</v>
      </c>
      <c r="D58">
        <f t="shared" si="0"/>
        <v>108</v>
      </c>
    </row>
    <row r="59" spans="1:4" x14ac:dyDescent="0.25">
      <c r="A59" t="s">
        <v>249</v>
      </c>
      <c r="B59" s="8">
        <v>3</v>
      </c>
      <c r="C59" s="9">
        <v>30</v>
      </c>
      <c r="D59">
        <f t="shared" si="0"/>
        <v>90</v>
      </c>
    </row>
    <row r="60" spans="1:4" x14ac:dyDescent="0.25">
      <c r="A60" t="s">
        <v>251</v>
      </c>
      <c r="B60" s="8">
        <v>3</v>
      </c>
      <c r="C60" s="9">
        <v>38</v>
      </c>
      <c r="D60">
        <f t="shared" si="0"/>
        <v>114</v>
      </c>
    </row>
    <row r="61" spans="1:4" x14ac:dyDescent="0.25">
      <c r="A61" t="s">
        <v>253</v>
      </c>
      <c r="B61" s="8">
        <v>3</v>
      </c>
      <c r="C61" s="9">
        <v>11</v>
      </c>
      <c r="D61">
        <f t="shared" si="0"/>
        <v>33</v>
      </c>
    </row>
    <row r="62" spans="1:4" x14ac:dyDescent="0.25">
      <c r="A62" t="s">
        <v>257</v>
      </c>
      <c r="B62" s="8">
        <v>5</v>
      </c>
      <c r="C62" s="9">
        <v>6</v>
      </c>
      <c r="D62">
        <f t="shared" si="0"/>
        <v>30</v>
      </c>
    </row>
    <row r="63" spans="1:4" x14ac:dyDescent="0.25">
      <c r="A63" t="s">
        <v>259</v>
      </c>
      <c r="B63" s="8">
        <v>5</v>
      </c>
      <c r="C63" s="9">
        <v>5</v>
      </c>
      <c r="D63">
        <f t="shared" si="0"/>
        <v>25</v>
      </c>
    </row>
    <row r="64" spans="1:4" x14ac:dyDescent="0.25">
      <c r="A64" t="s">
        <v>261</v>
      </c>
      <c r="B64" s="8">
        <v>5</v>
      </c>
      <c r="C64" s="9">
        <v>7</v>
      </c>
      <c r="D64">
        <f t="shared" si="0"/>
        <v>35</v>
      </c>
    </row>
    <row r="65" spans="1:4" x14ac:dyDescent="0.25">
      <c r="A65" t="s">
        <v>263</v>
      </c>
      <c r="B65" s="8">
        <v>5</v>
      </c>
      <c r="C65" s="9">
        <v>5</v>
      </c>
      <c r="D65">
        <f t="shared" si="0"/>
        <v>25</v>
      </c>
    </row>
    <row r="66" spans="1:4" x14ac:dyDescent="0.25">
      <c r="A66" t="s">
        <v>265</v>
      </c>
      <c r="B66" s="8">
        <v>5</v>
      </c>
      <c r="C66" s="9">
        <v>3</v>
      </c>
      <c r="D66">
        <f t="shared" si="0"/>
        <v>15</v>
      </c>
    </row>
    <row r="67" spans="1:4" x14ac:dyDescent="0.25">
      <c r="A67" t="s">
        <v>267</v>
      </c>
      <c r="B67" s="8">
        <v>5</v>
      </c>
      <c r="C67" s="9">
        <v>3</v>
      </c>
      <c r="D67">
        <f t="shared" ref="D67:D69" si="1">+C67*B67</f>
        <v>15</v>
      </c>
    </row>
    <row r="68" spans="1:4" x14ac:dyDescent="0.25">
      <c r="A68" t="s">
        <v>269</v>
      </c>
      <c r="B68" s="8">
        <v>5</v>
      </c>
      <c r="C68" s="9">
        <v>3</v>
      </c>
      <c r="D68">
        <f t="shared" si="1"/>
        <v>15</v>
      </c>
    </row>
    <row r="69" spans="1:4" x14ac:dyDescent="0.25">
      <c r="A69" t="s">
        <v>273</v>
      </c>
      <c r="B69" s="8">
        <v>5</v>
      </c>
      <c r="C69" s="9">
        <v>7</v>
      </c>
      <c r="D69">
        <f t="shared" si="1"/>
        <v>35</v>
      </c>
    </row>
    <row r="70" spans="1:4" x14ac:dyDescent="0.25">
      <c r="D70">
        <f>SUM(D2:D69)</f>
        <v>8530</v>
      </c>
    </row>
  </sheetData>
  <autoFilter ref="B1:B69" xr:uid="{8377C3AC-127C-43A9-B343-32A74BDBD6C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812E8-3F53-4B7B-9A25-70FC04E7A25A}">
  <dimension ref="A1:C80"/>
  <sheetViews>
    <sheetView workbookViewId="0">
      <selection activeCell="H12" sqref="H12"/>
    </sheetView>
  </sheetViews>
  <sheetFormatPr baseColWidth="10" defaultRowHeight="15" x14ac:dyDescent="0.25"/>
  <cols>
    <col min="1" max="1" width="15.7109375" style="14" bestFit="1" customWidth="1"/>
    <col min="2" max="2" width="11.42578125" style="7"/>
    <col min="3" max="3" width="11.42578125" style="9"/>
  </cols>
  <sheetData>
    <row r="1" spans="1:3" ht="15.75" thickBot="1" x14ac:dyDescent="0.3">
      <c r="A1" s="13" t="s">
        <v>0</v>
      </c>
      <c r="B1" s="5" t="s">
        <v>286</v>
      </c>
      <c r="C1" s="10" t="s">
        <v>287</v>
      </c>
    </row>
    <row r="2" spans="1:3" x14ac:dyDescent="0.25">
      <c r="A2" s="14" t="s">
        <v>7</v>
      </c>
      <c r="B2" s="8">
        <v>32</v>
      </c>
      <c r="C2" s="9">
        <v>1</v>
      </c>
    </row>
    <row r="3" spans="1:3" x14ac:dyDescent="0.25">
      <c r="A3" s="14" t="s">
        <v>13</v>
      </c>
      <c r="B3" s="8">
        <v>1</v>
      </c>
      <c r="C3" s="9">
        <v>92</v>
      </c>
    </row>
    <row r="4" spans="1:3" x14ac:dyDescent="0.25">
      <c r="A4" s="14" t="s">
        <v>15</v>
      </c>
      <c r="B4" s="8">
        <v>1</v>
      </c>
      <c r="C4" s="9">
        <v>81</v>
      </c>
    </row>
    <row r="5" spans="1:3" x14ac:dyDescent="0.25">
      <c r="A5" s="14" t="s">
        <v>27</v>
      </c>
      <c r="B5" s="8">
        <v>1</v>
      </c>
      <c r="C5" s="9">
        <v>63</v>
      </c>
    </row>
    <row r="6" spans="1:3" x14ac:dyDescent="0.25">
      <c r="A6" s="14" t="s">
        <v>35</v>
      </c>
      <c r="B6" s="8">
        <v>4</v>
      </c>
      <c r="C6" s="9">
        <v>4</v>
      </c>
    </row>
    <row r="7" spans="1:3" x14ac:dyDescent="0.25">
      <c r="A7" s="14" t="s">
        <v>47</v>
      </c>
      <c r="B7" s="8">
        <v>1</v>
      </c>
      <c r="C7" s="9">
        <v>78</v>
      </c>
    </row>
    <row r="8" spans="1:3" x14ac:dyDescent="0.25">
      <c r="A8" s="14" t="s">
        <v>49</v>
      </c>
      <c r="B8" s="8">
        <v>1</v>
      </c>
      <c r="C8" s="9">
        <v>52</v>
      </c>
    </row>
    <row r="9" spans="1:3" x14ac:dyDescent="0.25">
      <c r="A9" s="14" t="s">
        <v>51</v>
      </c>
      <c r="B9" s="8">
        <v>1</v>
      </c>
      <c r="C9" s="9">
        <v>155</v>
      </c>
    </row>
    <row r="10" spans="1:3" x14ac:dyDescent="0.25">
      <c r="A10" s="14" t="s">
        <v>57</v>
      </c>
      <c r="B10" s="8">
        <v>1</v>
      </c>
      <c r="C10" s="9">
        <v>54</v>
      </c>
    </row>
    <row r="11" spans="1:3" x14ac:dyDescent="0.25">
      <c r="A11" s="14" t="s">
        <v>59</v>
      </c>
      <c r="B11" s="8">
        <v>1</v>
      </c>
      <c r="C11" s="9">
        <v>67</v>
      </c>
    </row>
    <row r="12" spans="1:3" x14ac:dyDescent="0.25">
      <c r="A12" s="14" t="s">
        <v>63</v>
      </c>
      <c r="B12" s="8">
        <v>1</v>
      </c>
      <c r="C12" s="9">
        <v>48</v>
      </c>
    </row>
    <row r="13" spans="1:3" x14ac:dyDescent="0.25">
      <c r="A13" s="14" t="s">
        <v>67</v>
      </c>
      <c r="B13" s="8">
        <v>1</v>
      </c>
      <c r="C13" s="9">
        <v>40</v>
      </c>
    </row>
    <row r="14" spans="1:3" x14ac:dyDescent="0.25">
      <c r="A14" s="14" t="s">
        <v>71</v>
      </c>
      <c r="B14" s="8">
        <v>3</v>
      </c>
      <c r="C14" s="9">
        <v>64</v>
      </c>
    </row>
    <row r="15" spans="1:3" x14ac:dyDescent="0.25">
      <c r="A15" s="14" t="s">
        <v>73</v>
      </c>
      <c r="B15" s="8">
        <v>10</v>
      </c>
      <c r="C15" s="9">
        <v>34</v>
      </c>
    </row>
    <row r="16" spans="1:3" x14ac:dyDescent="0.25">
      <c r="A16" s="14" t="s">
        <v>75</v>
      </c>
      <c r="B16" s="8">
        <v>1</v>
      </c>
      <c r="C16" s="9">
        <v>40</v>
      </c>
    </row>
    <row r="17" spans="1:3" x14ac:dyDescent="0.25">
      <c r="A17" s="14" t="s">
        <v>79</v>
      </c>
      <c r="B17" s="8">
        <v>1</v>
      </c>
      <c r="C17" s="9">
        <v>253</v>
      </c>
    </row>
    <row r="18" spans="1:3" x14ac:dyDescent="0.25">
      <c r="A18" s="14" t="s">
        <v>85</v>
      </c>
      <c r="B18" s="8">
        <v>1</v>
      </c>
      <c r="C18" s="9">
        <v>13</v>
      </c>
    </row>
    <row r="19" spans="1:3" x14ac:dyDescent="0.25">
      <c r="A19" s="14" t="s">
        <v>89</v>
      </c>
      <c r="B19" s="8">
        <v>1</v>
      </c>
      <c r="C19" s="9">
        <v>35</v>
      </c>
    </row>
    <row r="20" spans="1:3" x14ac:dyDescent="0.25">
      <c r="A20" s="14" t="s">
        <v>105</v>
      </c>
      <c r="B20" s="8">
        <v>8</v>
      </c>
      <c r="C20" s="9">
        <v>15</v>
      </c>
    </row>
    <row r="21" spans="1:3" x14ac:dyDescent="0.25">
      <c r="A21" s="14" t="s">
        <v>111</v>
      </c>
      <c r="B21" s="8">
        <v>3</v>
      </c>
      <c r="C21" s="9">
        <v>17</v>
      </c>
    </row>
    <row r="22" spans="1:3" x14ac:dyDescent="0.25">
      <c r="A22" s="14" t="s">
        <v>117</v>
      </c>
      <c r="B22" s="8">
        <v>5</v>
      </c>
      <c r="C22" s="9">
        <v>7</v>
      </c>
    </row>
    <row r="23" spans="1:3" x14ac:dyDescent="0.25">
      <c r="A23" s="14" t="s">
        <v>119</v>
      </c>
      <c r="B23" s="8">
        <v>5</v>
      </c>
      <c r="C23" s="9">
        <v>3</v>
      </c>
    </row>
    <row r="24" spans="1:3" x14ac:dyDescent="0.25">
      <c r="A24" s="14" t="s">
        <v>121</v>
      </c>
      <c r="B24" s="8">
        <v>1</v>
      </c>
      <c r="C24" s="9">
        <v>43</v>
      </c>
    </row>
    <row r="25" spans="1:3" x14ac:dyDescent="0.25">
      <c r="A25" s="14" t="s">
        <v>125</v>
      </c>
      <c r="B25" s="8">
        <v>2</v>
      </c>
      <c r="C25" s="9">
        <v>13</v>
      </c>
    </row>
    <row r="26" spans="1:3" x14ac:dyDescent="0.25">
      <c r="A26" s="14" t="s">
        <v>127</v>
      </c>
      <c r="B26" s="8">
        <v>2</v>
      </c>
      <c r="C26" s="9">
        <v>7</v>
      </c>
    </row>
    <row r="27" spans="1:3" x14ac:dyDescent="0.25">
      <c r="A27" s="14" t="s">
        <v>131</v>
      </c>
      <c r="B27" s="8">
        <v>2</v>
      </c>
      <c r="C27" s="9">
        <v>3</v>
      </c>
    </row>
    <row r="28" spans="1:3" x14ac:dyDescent="0.25">
      <c r="A28" s="14" t="s">
        <v>137</v>
      </c>
      <c r="B28" s="8">
        <v>2</v>
      </c>
      <c r="C28" s="9">
        <v>5</v>
      </c>
    </row>
    <row r="29" spans="1:3" x14ac:dyDescent="0.25">
      <c r="A29" s="14" t="s">
        <v>145</v>
      </c>
      <c r="B29" s="8">
        <v>5</v>
      </c>
      <c r="C29" s="9">
        <v>19</v>
      </c>
    </row>
    <row r="30" spans="1:3" x14ac:dyDescent="0.25">
      <c r="A30" s="14" t="s">
        <v>151</v>
      </c>
      <c r="B30" s="8">
        <v>5</v>
      </c>
      <c r="C30" s="9">
        <v>13</v>
      </c>
    </row>
    <row r="31" spans="1:3" x14ac:dyDescent="0.25">
      <c r="A31" s="14" t="s">
        <v>153</v>
      </c>
      <c r="B31" s="8">
        <v>3</v>
      </c>
      <c r="C31" s="9">
        <v>9</v>
      </c>
    </row>
    <row r="32" spans="1:3" x14ac:dyDescent="0.25">
      <c r="A32" s="14" t="s">
        <v>155</v>
      </c>
      <c r="B32" s="8">
        <v>2</v>
      </c>
      <c r="C32" s="9">
        <v>16</v>
      </c>
    </row>
    <row r="33" spans="1:3" x14ac:dyDescent="0.25">
      <c r="A33" s="14" t="s">
        <v>157</v>
      </c>
      <c r="B33" s="8">
        <v>2</v>
      </c>
      <c r="C33" s="9">
        <v>6</v>
      </c>
    </row>
    <row r="34" spans="1:3" x14ac:dyDescent="0.25">
      <c r="A34" s="14" t="s">
        <v>159</v>
      </c>
      <c r="B34" s="8">
        <v>80</v>
      </c>
      <c r="C34" s="9">
        <v>2</v>
      </c>
    </row>
    <row r="35" spans="1:3" x14ac:dyDescent="0.25">
      <c r="A35" s="14" t="s">
        <v>161</v>
      </c>
      <c r="B35" s="8">
        <v>10</v>
      </c>
      <c r="C35" s="9">
        <v>6</v>
      </c>
    </row>
    <row r="36" spans="1:3" x14ac:dyDescent="0.25">
      <c r="A36" s="14" t="s">
        <v>165</v>
      </c>
      <c r="B36" s="8">
        <v>2</v>
      </c>
      <c r="C36" s="9">
        <v>29</v>
      </c>
    </row>
    <row r="37" spans="1:3" x14ac:dyDescent="0.25">
      <c r="A37" s="14" t="s">
        <v>167</v>
      </c>
      <c r="B37" s="8">
        <v>5</v>
      </c>
      <c r="C37" s="9">
        <v>5</v>
      </c>
    </row>
    <row r="38" spans="1:3" x14ac:dyDescent="0.25">
      <c r="A38" s="15" t="s">
        <v>169</v>
      </c>
      <c r="B38" s="8">
        <v>5</v>
      </c>
      <c r="C38" s="9">
        <v>5</v>
      </c>
    </row>
    <row r="39" spans="1:3" x14ac:dyDescent="0.25">
      <c r="A39" s="14" t="s">
        <v>171</v>
      </c>
      <c r="B39" s="8">
        <v>5</v>
      </c>
      <c r="C39" s="9">
        <v>5</v>
      </c>
    </row>
    <row r="40" spans="1:3" x14ac:dyDescent="0.25">
      <c r="A40" s="14" t="s">
        <v>173</v>
      </c>
      <c r="B40" s="8">
        <v>8</v>
      </c>
      <c r="C40" s="9">
        <v>3</v>
      </c>
    </row>
    <row r="41" spans="1:3" x14ac:dyDescent="0.25">
      <c r="A41" s="14" t="s">
        <v>175</v>
      </c>
      <c r="B41" s="8">
        <v>8</v>
      </c>
      <c r="C41" s="9">
        <v>6</v>
      </c>
    </row>
    <row r="42" spans="1:3" x14ac:dyDescent="0.25">
      <c r="A42" s="14" t="s">
        <v>177</v>
      </c>
      <c r="B42" s="8">
        <v>8</v>
      </c>
      <c r="C42" s="9">
        <v>4</v>
      </c>
    </row>
    <row r="43" spans="1:3" x14ac:dyDescent="0.25">
      <c r="A43" s="14" t="s">
        <v>179</v>
      </c>
      <c r="B43" s="8">
        <v>8</v>
      </c>
      <c r="C43" s="9">
        <v>5</v>
      </c>
    </row>
    <row r="44" spans="1:3" x14ac:dyDescent="0.25">
      <c r="A44" s="14" t="s">
        <v>185</v>
      </c>
      <c r="B44" s="8">
        <v>2</v>
      </c>
      <c r="C44" s="9">
        <v>48</v>
      </c>
    </row>
    <row r="45" spans="1:3" x14ac:dyDescent="0.25">
      <c r="A45" s="15" t="s">
        <v>189</v>
      </c>
      <c r="B45" s="8">
        <v>2</v>
      </c>
      <c r="C45" s="9">
        <v>40</v>
      </c>
    </row>
    <row r="46" spans="1:3" x14ac:dyDescent="0.25">
      <c r="A46" s="14" t="s">
        <v>191</v>
      </c>
      <c r="B46" s="8">
        <v>1</v>
      </c>
      <c r="C46" s="9">
        <v>27</v>
      </c>
    </row>
    <row r="47" spans="1:3" x14ac:dyDescent="0.25">
      <c r="A47" s="14" t="s">
        <v>193</v>
      </c>
      <c r="B47" s="8">
        <v>1</v>
      </c>
      <c r="C47" s="9">
        <v>21</v>
      </c>
    </row>
    <row r="48" spans="1:3" x14ac:dyDescent="0.25">
      <c r="A48" s="14" t="s">
        <v>195</v>
      </c>
      <c r="B48" s="8">
        <v>1</v>
      </c>
      <c r="C48" s="9">
        <v>45</v>
      </c>
    </row>
    <row r="49" spans="1:3" x14ac:dyDescent="0.25">
      <c r="A49" s="14" t="s">
        <v>197</v>
      </c>
      <c r="B49" s="8">
        <v>1</v>
      </c>
      <c r="C49" s="9">
        <v>26</v>
      </c>
    </row>
    <row r="50" spans="1:3" x14ac:dyDescent="0.25">
      <c r="A50" s="14" t="s">
        <v>199</v>
      </c>
      <c r="B50" s="8">
        <v>1</v>
      </c>
      <c r="C50" s="9">
        <v>17</v>
      </c>
    </row>
    <row r="51" spans="1:3" x14ac:dyDescent="0.25">
      <c r="A51" s="14" t="s">
        <v>201</v>
      </c>
      <c r="B51" s="8">
        <v>1</v>
      </c>
      <c r="C51" s="9">
        <v>17</v>
      </c>
    </row>
    <row r="52" spans="1:3" x14ac:dyDescent="0.25">
      <c r="A52" s="14" t="s">
        <v>203</v>
      </c>
      <c r="B52" s="8">
        <v>1</v>
      </c>
      <c r="C52" s="9">
        <v>35</v>
      </c>
    </row>
    <row r="53" spans="1:3" x14ac:dyDescent="0.25">
      <c r="A53" s="14" t="s">
        <v>207</v>
      </c>
      <c r="B53" s="8">
        <v>3</v>
      </c>
      <c r="C53" s="9">
        <v>23</v>
      </c>
    </row>
    <row r="54" spans="1:3" x14ac:dyDescent="0.25">
      <c r="A54" s="14" t="s">
        <v>209</v>
      </c>
      <c r="B54" s="8">
        <v>1</v>
      </c>
      <c r="C54" s="9">
        <v>52</v>
      </c>
    </row>
    <row r="55" spans="1:3" x14ac:dyDescent="0.25">
      <c r="A55" s="14" t="s">
        <v>215</v>
      </c>
      <c r="B55" s="8">
        <v>4</v>
      </c>
      <c r="C55" s="9">
        <v>18</v>
      </c>
    </row>
    <row r="56" spans="1:3" x14ac:dyDescent="0.25">
      <c r="A56" s="14" t="s">
        <v>221</v>
      </c>
      <c r="B56" s="8">
        <v>2</v>
      </c>
      <c r="C56" s="9">
        <v>20</v>
      </c>
    </row>
    <row r="57" spans="1:3" x14ac:dyDescent="0.25">
      <c r="A57" s="14" t="s">
        <v>223</v>
      </c>
      <c r="B57" s="8">
        <v>1</v>
      </c>
      <c r="C57" s="9">
        <v>12</v>
      </c>
    </row>
    <row r="58" spans="1:3" x14ac:dyDescent="0.25">
      <c r="A58" s="14" t="s">
        <v>225</v>
      </c>
      <c r="B58" s="8">
        <v>1</v>
      </c>
      <c r="C58" s="9">
        <v>12</v>
      </c>
    </row>
    <row r="59" spans="1:3" x14ac:dyDescent="0.25">
      <c r="A59" s="14" t="s">
        <v>227</v>
      </c>
      <c r="B59" s="8">
        <v>1</v>
      </c>
      <c r="C59" s="9">
        <v>55</v>
      </c>
    </row>
    <row r="60" spans="1:3" x14ac:dyDescent="0.25">
      <c r="A60" s="14" t="s">
        <v>229</v>
      </c>
      <c r="B60" s="8">
        <v>1</v>
      </c>
      <c r="C60" s="9">
        <v>23</v>
      </c>
    </row>
    <row r="61" spans="1:3" x14ac:dyDescent="0.25">
      <c r="A61" s="14" t="s">
        <v>231</v>
      </c>
      <c r="B61" s="8">
        <v>1</v>
      </c>
      <c r="C61" s="9">
        <v>23</v>
      </c>
    </row>
    <row r="62" spans="1:3" x14ac:dyDescent="0.25">
      <c r="A62" s="14" t="s">
        <v>233</v>
      </c>
      <c r="B62" s="8">
        <v>1</v>
      </c>
      <c r="C62" s="9">
        <v>21</v>
      </c>
    </row>
    <row r="63" spans="1:3" x14ac:dyDescent="0.25">
      <c r="A63" s="14" t="s">
        <v>235</v>
      </c>
      <c r="B63" s="8">
        <v>1</v>
      </c>
      <c r="C63" s="9">
        <v>24</v>
      </c>
    </row>
    <row r="64" spans="1:3" x14ac:dyDescent="0.25">
      <c r="A64" s="14" t="s">
        <v>237</v>
      </c>
      <c r="B64" s="8">
        <v>1</v>
      </c>
      <c r="C64" s="9">
        <v>43</v>
      </c>
    </row>
    <row r="65" spans="1:3" x14ac:dyDescent="0.25">
      <c r="A65" s="14" t="s">
        <v>239</v>
      </c>
      <c r="B65" s="8">
        <v>1</v>
      </c>
      <c r="C65" s="9">
        <v>16</v>
      </c>
    </row>
    <row r="66" spans="1:3" x14ac:dyDescent="0.25">
      <c r="A66" s="14" t="s">
        <v>241</v>
      </c>
      <c r="B66" s="8">
        <v>1</v>
      </c>
      <c r="C66" s="9">
        <v>26</v>
      </c>
    </row>
    <row r="67" spans="1:3" x14ac:dyDescent="0.25">
      <c r="A67" s="14" t="s">
        <v>243</v>
      </c>
      <c r="B67" s="8">
        <v>1</v>
      </c>
      <c r="C67" s="9">
        <v>36</v>
      </c>
    </row>
    <row r="68" spans="1:3" x14ac:dyDescent="0.25">
      <c r="A68" s="14" t="s">
        <v>249</v>
      </c>
      <c r="B68" s="8">
        <v>1</v>
      </c>
      <c r="C68" s="9">
        <v>30</v>
      </c>
    </row>
    <row r="69" spans="1:3" x14ac:dyDescent="0.25">
      <c r="A69" s="14" t="s">
        <v>251</v>
      </c>
      <c r="B69" s="8">
        <v>1</v>
      </c>
      <c r="C69" s="9">
        <v>38</v>
      </c>
    </row>
    <row r="70" spans="1:3" x14ac:dyDescent="0.25">
      <c r="A70" s="14" t="s">
        <v>253</v>
      </c>
      <c r="B70" s="8">
        <v>1</v>
      </c>
      <c r="C70" s="9">
        <v>11</v>
      </c>
    </row>
    <row r="71" spans="1:3" x14ac:dyDescent="0.25">
      <c r="A71" s="14" t="s">
        <v>255</v>
      </c>
      <c r="B71" s="8">
        <v>1</v>
      </c>
      <c r="C71" s="9">
        <v>7</v>
      </c>
    </row>
    <row r="72" spans="1:3" x14ac:dyDescent="0.25">
      <c r="A72" s="14" t="s">
        <v>257</v>
      </c>
      <c r="B72" s="8">
        <v>3</v>
      </c>
      <c r="C72" s="9">
        <v>6</v>
      </c>
    </row>
    <row r="73" spans="1:3" x14ac:dyDescent="0.25">
      <c r="A73" s="14" t="s">
        <v>259</v>
      </c>
      <c r="B73" s="8">
        <v>2</v>
      </c>
      <c r="C73" s="9">
        <v>5</v>
      </c>
    </row>
    <row r="74" spans="1:3" x14ac:dyDescent="0.25">
      <c r="A74" s="14" t="s">
        <v>261</v>
      </c>
      <c r="B74" s="8">
        <v>2</v>
      </c>
      <c r="C74" s="9">
        <v>7</v>
      </c>
    </row>
    <row r="75" spans="1:3" x14ac:dyDescent="0.25">
      <c r="A75" s="14" t="s">
        <v>265</v>
      </c>
      <c r="B75" s="8">
        <v>2</v>
      </c>
      <c r="C75" s="9">
        <v>3</v>
      </c>
    </row>
    <row r="76" spans="1:3" x14ac:dyDescent="0.25">
      <c r="A76" s="14" t="s">
        <v>267</v>
      </c>
      <c r="B76" s="8">
        <v>2</v>
      </c>
      <c r="C76" s="9">
        <v>3</v>
      </c>
    </row>
    <row r="77" spans="1:3" x14ac:dyDescent="0.25">
      <c r="A77" s="14" t="s">
        <v>269</v>
      </c>
      <c r="B77" s="8">
        <v>2</v>
      </c>
      <c r="C77" s="9">
        <v>3</v>
      </c>
    </row>
    <row r="78" spans="1:3" x14ac:dyDescent="0.25">
      <c r="A78" s="14" t="s">
        <v>271</v>
      </c>
      <c r="B78" s="8">
        <v>2</v>
      </c>
      <c r="C78" s="9">
        <v>10</v>
      </c>
    </row>
    <row r="79" spans="1:3" x14ac:dyDescent="0.25">
      <c r="A79" s="14" t="s">
        <v>273</v>
      </c>
      <c r="B79" s="8">
        <v>5</v>
      </c>
      <c r="C79" s="9">
        <v>7</v>
      </c>
    </row>
    <row r="80" spans="1:3" x14ac:dyDescent="0.25">
      <c r="A80" s="14" t="s">
        <v>279</v>
      </c>
      <c r="B80" s="8">
        <v>2</v>
      </c>
      <c r="C80" s="9">
        <v>6</v>
      </c>
    </row>
  </sheetData>
  <autoFilter ref="B1:B80" xr:uid="{781812E8-3F53-4B7B-9A25-70FC04E7A25A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1A47F-2D59-472A-ABA4-8309672A10CE}">
  <dimension ref="A1:C3"/>
  <sheetViews>
    <sheetView workbookViewId="0">
      <selection activeCell="F20" sqref="F20"/>
    </sheetView>
  </sheetViews>
  <sheetFormatPr baseColWidth="10" defaultRowHeight="15" x14ac:dyDescent="0.25"/>
  <cols>
    <col min="1" max="1" width="15.7109375" bestFit="1" customWidth="1"/>
    <col min="2" max="2" width="11.42578125" style="7"/>
    <col min="3" max="3" width="11.42578125" style="9"/>
  </cols>
  <sheetData>
    <row r="1" spans="1:3" ht="15.75" thickBot="1" x14ac:dyDescent="0.3">
      <c r="A1" s="1" t="s">
        <v>0</v>
      </c>
      <c r="B1" s="5" t="s">
        <v>284</v>
      </c>
      <c r="C1" s="10" t="s">
        <v>287</v>
      </c>
    </row>
    <row r="2" spans="1:3" x14ac:dyDescent="0.25">
      <c r="A2" t="s">
        <v>159</v>
      </c>
      <c r="B2" s="8">
        <v>50</v>
      </c>
      <c r="C2" s="9">
        <v>2</v>
      </c>
    </row>
    <row r="3" spans="1:3" x14ac:dyDescent="0.25">
      <c r="A3" t="s">
        <v>161</v>
      </c>
      <c r="B3" s="8">
        <v>5</v>
      </c>
      <c r="C3" s="9">
        <v>6</v>
      </c>
    </row>
  </sheetData>
  <autoFilter ref="B1:B3" xr:uid="{B231A47F-2D59-472A-ABA4-8309672A10CE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A2EA9-8088-4208-8433-9D2CB2F1532B}">
  <dimension ref="A1:J140"/>
  <sheetViews>
    <sheetView workbookViewId="0">
      <selection activeCell="F33" sqref="F33"/>
    </sheetView>
  </sheetViews>
  <sheetFormatPr baseColWidth="10" defaultRowHeight="15" x14ac:dyDescent="0.25"/>
  <cols>
    <col min="1" max="1" width="15.7109375" bestFit="1" customWidth="1"/>
    <col min="2" max="2" width="45.85546875" customWidth="1"/>
    <col min="3" max="9" width="11.42578125" style="7"/>
    <col min="10" max="10" width="11.42578125" style="9"/>
  </cols>
  <sheetData>
    <row r="1" spans="1:10" ht="15.75" thickBot="1" x14ac:dyDescent="0.3">
      <c r="A1" s="1" t="s">
        <v>0</v>
      </c>
      <c r="B1" s="2" t="s">
        <v>1</v>
      </c>
      <c r="C1" s="4" t="s">
        <v>2</v>
      </c>
      <c r="D1" s="5" t="s">
        <v>281</v>
      </c>
      <c r="E1" s="5" t="s">
        <v>282</v>
      </c>
      <c r="F1" s="5" t="s">
        <v>283</v>
      </c>
      <c r="G1" s="5" t="s">
        <v>286</v>
      </c>
      <c r="H1" s="5" t="s">
        <v>284</v>
      </c>
      <c r="I1" s="6" t="s">
        <v>285</v>
      </c>
      <c r="J1" s="10" t="s">
        <v>287</v>
      </c>
    </row>
    <row r="2" spans="1:10" x14ac:dyDescent="0.25">
      <c r="A2" t="s">
        <v>3</v>
      </c>
      <c r="B2" t="s">
        <v>4</v>
      </c>
      <c r="C2" s="7">
        <v>16</v>
      </c>
      <c r="D2" s="7">
        <v>12</v>
      </c>
      <c r="E2" s="7">
        <v>4</v>
      </c>
      <c r="I2" s="3">
        <f>+C2-D2-E2-F2-G2-H2</f>
        <v>0</v>
      </c>
      <c r="J2" s="9">
        <v>25</v>
      </c>
    </row>
    <row r="3" spans="1:10" x14ac:dyDescent="0.25">
      <c r="A3" t="s">
        <v>5</v>
      </c>
      <c r="B3" t="s">
        <v>6</v>
      </c>
      <c r="C3" s="8">
        <v>1</v>
      </c>
      <c r="D3" s="8">
        <v>1</v>
      </c>
      <c r="E3" s="8"/>
      <c r="F3" s="8"/>
      <c r="G3" s="8"/>
      <c r="H3" s="8"/>
      <c r="I3" s="3">
        <f t="shared" ref="I3:I66" si="0">+C3-D3-E3-F3-G3-H3</f>
        <v>0</v>
      </c>
      <c r="J3" s="9">
        <v>372</v>
      </c>
    </row>
    <row r="4" spans="1:10" x14ac:dyDescent="0.25">
      <c r="A4" t="s">
        <v>7</v>
      </c>
      <c r="B4" t="s">
        <v>8</v>
      </c>
      <c r="C4" s="8">
        <v>1600</v>
      </c>
      <c r="D4" s="8">
        <v>1408</v>
      </c>
      <c r="E4" s="8">
        <v>160</v>
      </c>
      <c r="F4" s="8"/>
      <c r="G4" s="8">
        <v>32</v>
      </c>
      <c r="H4" s="8"/>
      <c r="I4" s="3">
        <f t="shared" si="0"/>
        <v>0</v>
      </c>
      <c r="J4" s="9">
        <v>1</v>
      </c>
    </row>
    <row r="5" spans="1:10" x14ac:dyDescent="0.25">
      <c r="A5" t="s">
        <v>9</v>
      </c>
      <c r="B5" t="s">
        <v>10</v>
      </c>
      <c r="C5" s="8">
        <v>2</v>
      </c>
      <c r="D5" s="8">
        <v>2</v>
      </c>
      <c r="E5" s="8"/>
      <c r="F5" s="8"/>
      <c r="G5" s="8"/>
      <c r="H5" s="8"/>
      <c r="I5" s="3">
        <f t="shared" si="0"/>
        <v>0</v>
      </c>
      <c r="J5" s="9">
        <v>133</v>
      </c>
    </row>
    <row r="6" spans="1:10" x14ac:dyDescent="0.25">
      <c r="A6" t="s">
        <v>11</v>
      </c>
      <c r="B6" t="s">
        <v>12</v>
      </c>
      <c r="C6" s="8">
        <v>91</v>
      </c>
      <c r="D6" s="8">
        <v>78</v>
      </c>
      <c r="E6" s="8">
        <v>10</v>
      </c>
      <c r="F6" s="8">
        <v>3</v>
      </c>
      <c r="G6" s="8"/>
      <c r="H6" s="8"/>
      <c r="I6" s="3">
        <f t="shared" si="0"/>
        <v>0</v>
      </c>
      <c r="J6" s="9">
        <v>22</v>
      </c>
    </row>
    <row r="7" spans="1:10" x14ac:dyDescent="0.25">
      <c r="A7" t="s">
        <v>13</v>
      </c>
      <c r="B7" t="s">
        <v>14</v>
      </c>
      <c r="C7" s="8">
        <v>5</v>
      </c>
      <c r="D7" s="8">
        <v>0</v>
      </c>
      <c r="E7" s="8">
        <v>2</v>
      </c>
      <c r="F7" s="8">
        <v>2</v>
      </c>
      <c r="G7" s="8">
        <v>1</v>
      </c>
      <c r="H7" s="8"/>
      <c r="I7" s="3">
        <f t="shared" si="0"/>
        <v>0</v>
      </c>
      <c r="J7" s="9">
        <v>92</v>
      </c>
    </row>
    <row r="8" spans="1:10" x14ac:dyDescent="0.25">
      <c r="A8" t="s">
        <v>15</v>
      </c>
      <c r="B8" t="s">
        <v>16</v>
      </c>
      <c r="C8" s="8">
        <v>45</v>
      </c>
      <c r="D8" s="8">
        <v>32</v>
      </c>
      <c r="E8" s="8">
        <v>10</v>
      </c>
      <c r="F8" s="8">
        <v>2</v>
      </c>
      <c r="G8" s="8">
        <v>1</v>
      </c>
      <c r="H8" s="8"/>
      <c r="I8" s="3">
        <f t="shared" si="0"/>
        <v>0</v>
      </c>
      <c r="J8" s="9">
        <v>81</v>
      </c>
    </row>
    <row r="9" spans="1:10" x14ac:dyDescent="0.25">
      <c r="A9" t="s">
        <v>17</v>
      </c>
      <c r="B9" t="s">
        <v>18</v>
      </c>
      <c r="C9" s="8">
        <v>6</v>
      </c>
      <c r="D9" s="8">
        <v>4</v>
      </c>
      <c r="E9" s="8">
        <v>2</v>
      </c>
      <c r="F9" s="8"/>
      <c r="G9" s="8"/>
      <c r="H9" s="8"/>
      <c r="I9" s="3">
        <f t="shared" si="0"/>
        <v>0</v>
      </c>
      <c r="J9" s="9">
        <v>16</v>
      </c>
    </row>
    <row r="10" spans="1:10" x14ac:dyDescent="0.25">
      <c r="A10" t="s">
        <v>19</v>
      </c>
      <c r="B10" t="s">
        <v>20</v>
      </c>
      <c r="C10" s="8">
        <v>20</v>
      </c>
      <c r="D10" s="8">
        <v>11</v>
      </c>
      <c r="E10" s="8">
        <v>4</v>
      </c>
      <c r="F10" s="8">
        <v>5</v>
      </c>
      <c r="G10" s="8"/>
      <c r="H10" s="8"/>
      <c r="I10" s="3">
        <f t="shared" si="0"/>
        <v>0</v>
      </c>
      <c r="J10" s="9">
        <v>9</v>
      </c>
    </row>
    <row r="11" spans="1:10" x14ac:dyDescent="0.25">
      <c r="A11" t="s">
        <v>21</v>
      </c>
      <c r="B11" t="s">
        <v>22</v>
      </c>
      <c r="C11" s="8">
        <v>30</v>
      </c>
      <c r="D11" s="8">
        <v>22</v>
      </c>
      <c r="E11" s="8">
        <v>5</v>
      </c>
      <c r="F11" s="8">
        <v>3</v>
      </c>
      <c r="G11" s="8"/>
      <c r="H11" s="8"/>
      <c r="I11" s="3">
        <f t="shared" si="0"/>
        <v>0</v>
      </c>
      <c r="J11" s="9">
        <v>57</v>
      </c>
    </row>
    <row r="12" spans="1:10" x14ac:dyDescent="0.25">
      <c r="A12" t="s">
        <v>23</v>
      </c>
      <c r="B12" t="s">
        <v>24</v>
      </c>
      <c r="C12" s="8">
        <v>11</v>
      </c>
      <c r="D12" s="8">
        <v>5</v>
      </c>
      <c r="E12" s="8">
        <v>4</v>
      </c>
      <c r="F12" s="8">
        <v>2</v>
      </c>
      <c r="G12" s="8"/>
      <c r="H12" s="8"/>
      <c r="I12" s="3">
        <f t="shared" si="0"/>
        <v>0</v>
      </c>
      <c r="J12" s="9">
        <v>39</v>
      </c>
    </row>
    <row r="13" spans="1:10" x14ac:dyDescent="0.25">
      <c r="A13" t="s">
        <v>25</v>
      </c>
      <c r="B13" t="s">
        <v>26</v>
      </c>
      <c r="C13" s="8">
        <v>200</v>
      </c>
      <c r="D13" s="8">
        <v>170</v>
      </c>
      <c r="E13" s="8">
        <v>30</v>
      </c>
      <c r="F13" s="8"/>
      <c r="G13" s="8"/>
      <c r="H13" s="8"/>
      <c r="I13" s="3">
        <f t="shared" si="0"/>
        <v>0</v>
      </c>
      <c r="J13" s="9">
        <v>8</v>
      </c>
    </row>
    <row r="14" spans="1:10" x14ac:dyDescent="0.25">
      <c r="A14" t="s">
        <v>27</v>
      </c>
      <c r="B14" t="s">
        <v>28</v>
      </c>
      <c r="C14" s="8">
        <v>49</v>
      </c>
      <c r="D14" s="8">
        <v>35</v>
      </c>
      <c r="E14" s="8">
        <v>10</v>
      </c>
      <c r="F14" s="8">
        <v>3</v>
      </c>
      <c r="G14" s="8">
        <v>1</v>
      </c>
      <c r="H14" s="8"/>
      <c r="I14" s="3">
        <f t="shared" si="0"/>
        <v>0</v>
      </c>
      <c r="J14" s="9">
        <v>63</v>
      </c>
    </row>
    <row r="15" spans="1:10" x14ac:dyDescent="0.25">
      <c r="A15" t="s">
        <v>29</v>
      </c>
      <c r="B15" t="s">
        <v>30</v>
      </c>
      <c r="C15" s="8">
        <v>36</v>
      </c>
      <c r="D15" s="8">
        <v>24</v>
      </c>
      <c r="E15" s="8">
        <v>10</v>
      </c>
      <c r="F15" s="8">
        <v>2</v>
      </c>
      <c r="G15" s="8"/>
      <c r="H15" s="8"/>
      <c r="I15" s="3">
        <f t="shared" si="0"/>
        <v>0</v>
      </c>
      <c r="J15" s="9">
        <v>90</v>
      </c>
    </row>
    <row r="16" spans="1:10" x14ac:dyDescent="0.25">
      <c r="A16" t="s">
        <v>31</v>
      </c>
      <c r="B16" t="s">
        <v>32</v>
      </c>
      <c r="C16" s="8">
        <v>5</v>
      </c>
      <c r="D16" s="8">
        <v>5</v>
      </c>
      <c r="E16" s="8"/>
      <c r="F16" s="8"/>
      <c r="G16" s="8"/>
      <c r="H16" s="8"/>
      <c r="I16" s="3">
        <f t="shared" si="0"/>
        <v>0</v>
      </c>
      <c r="J16" s="9">
        <v>286</v>
      </c>
    </row>
    <row r="17" spans="1:10" x14ac:dyDescent="0.25">
      <c r="A17" t="s">
        <v>33</v>
      </c>
      <c r="B17" t="s">
        <v>34</v>
      </c>
      <c r="C17" s="8">
        <v>100</v>
      </c>
      <c r="D17" s="8">
        <v>87</v>
      </c>
      <c r="E17" s="8">
        <v>10</v>
      </c>
      <c r="F17" s="8">
        <v>3</v>
      </c>
      <c r="G17" s="8"/>
      <c r="H17" s="8"/>
      <c r="I17" s="3">
        <f t="shared" si="0"/>
        <v>0</v>
      </c>
      <c r="J17" s="9">
        <v>6</v>
      </c>
    </row>
    <row r="18" spans="1:10" x14ac:dyDescent="0.25">
      <c r="A18" t="s">
        <v>35</v>
      </c>
      <c r="B18" t="s">
        <v>36</v>
      </c>
      <c r="C18" s="8">
        <v>60</v>
      </c>
      <c r="D18" s="8">
        <v>32</v>
      </c>
      <c r="E18" s="8">
        <v>24</v>
      </c>
      <c r="F18" s="8"/>
      <c r="G18" s="8">
        <v>4</v>
      </c>
      <c r="H18" s="8"/>
      <c r="I18" s="3">
        <f t="shared" si="0"/>
        <v>0</v>
      </c>
      <c r="J18" s="9">
        <v>4</v>
      </c>
    </row>
    <row r="19" spans="1:10" x14ac:dyDescent="0.25">
      <c r="A19" t="s">
        <v>37</v>
      </c>
      <c r="B19" t="s">
        <v>38</v>
      </c>
      <c r="C19" s="8">
        <v>50</v>
      </c>
      <c r="D19" s="8">
        <v>37</v>
      </c>
      <c r="E19" s="8">
        <v>10</v>
      </c>
      <c r="F19" s="8">
        <v>3</v>
      </c>
      <c r="G19" s="8"/>
      <c r="H19" s="8"/>
      <c r="I19" s="3">
        <f t="shared" si="0"/>
        <v>0</v>
      </c>
      <c r="J19" s="9">
        <v>86</v>
      </c>
    </row>
    <row r="20" spans="1:10" x14ac:dyDescent="0.25">
      <c r="A20" t="s">
        <v>39</v>
      </c>
      <c r="B20" t="s">
        <v>40</v>
      </c>
      <c r="C20" s="8">
        <v>5</v>
      </c>
      <c r="D20" s="8">
        <v>3</v>
      </c>
      <c r="E20" s="8">
        <v>2</v>
      </c>
      <c r="F20" s="8"/>
      <c r="G20" s="8"/>
      <c r="H20" s="8"/>
      <c r="I20" s="3">
        <f t="shared" si="0"/>
        <v>0</v>
      </c>
      <c r="J20" s="9">
        <v>23</v>
      </c>
    </row>
    <row r="21" spans="1:10" x14ac:dyDescent="0.25">
      <c r="A21" t="s">
        <v>41</v>
      </c>
      <c r="B21" t="s">
        <v>42</v>
      </c>
      <c r="C21" s="8">
        <v>2</v>
      </c>
      <c r="D21" s="8">
        <v>1</v>
      </c>
      <c r="E21" s="8">
        <v>1</v>
      </c>
      <c r="F21" s="8"/>
      <c r="G21" s="8"/>
      <c r="H21" s="8"/>
      <c r="I21" s="3">
        <f t="shared" si="0"/>
        <v>0</v>
      </c>
      <c r="J21" s="9">
        <v>132</v>
      </c>
    </row>
    <row r="22" spans="1:10" x14ac:dyDescent="0.25">
      <c r="A22" t="s">
        <v>43</v>
      </c>
      <c r="B22" t="s">
        <v>44</v>
      </c>
      <c r="C22" s="8">
        <v>20</v>
      </c>
      <c r="D22" s="8">
        <v>15</v>
      </c>
      <c r="E22" s="8">
        <v>5</v>
      </c>
      <c r="F22" s="8"/>
      <c r="G22" s="8"/>
      <c r="H22" s="8"/>
      <c r="I22" s="3">
        <f t="shared" si="0"/>
        <v>0</v>
      </c>
      <c r="J22" s="9">
        <v>20</v>
      </c>
    </row>
    <row r="23" spans="1:10" x14ac:dyDescent="0.25">
      <c r="A23" t="s">
        <v>45</v>
      </c>
      <c r="B23" t="s">
        <v>46</v>
      </c>
      <c r="C23" s="8">
        <v>5</v>
      </c>
      <c r="D23" s="8">
        <v>4</v>
      </c>
      <c r="E23" s="8">
        <v>1</v>
      </c>
      <c r="F23" s="8"/>
      <c r="G23" s="8"/>
      <c r="H23" s="8"/>
      <c r="I23" s="3">
        <f t="shared" si="0"/>
        <v>0</v>
      </c>
      <c r="J23" s="9">
        <v>60</v>
      </c>
    </row>
    <row r="24" spans="1:10" x14ac:dyDescent="0.25">
      <c r="A24" t="s">
        <v>47</v>
      </c>
      <c r="B24" t="s">
        <v>48</v>
      </c>
      <c r="C24" s="8">
        <v>105</v>
      </c>
      <c r="D24" s="8">
        <v>98</v>
      </c>
      <c r="E24" s="8">
        <v>6</v>
      </c>
      <c r="F24" s="8"/>
      <c r="G24" s="8">
        <v>1</v>
      </c>
      <c r="H24" s="8"/>
      <c r="I24" s="3">
        <f t="shared" si="0"/>
        <v>0</v>
      </c>
      <c r="J24" s="9">
        <v>78</v>
      </c>
    </row>
    <row r="25" spans="1:10" x14ac:dyDescent="0.25">
      <c r="A25" t="s">
        <v>49</v>
      </c>
      <c r="B25" t="s">
        <v>50</v>
      </c>
      <c r="C25" s="8">
        <v>100</v>
      </c>
      <c r="D25" s="8">
        <v>93</v>
      </c>
      <c r="E25" s="8">
        <v>6</v>
      </c>
      <c r="F25" s="8"/>
      <c r="G25" s="8">
        <v>1</v>
      </c>
      <c r="H25" s="8"/>
      <c r="I25" s="3">
        <f t="shared" si="0"/>
        <v>0</v>
      </c>
      <c r="J25" s="9">
        <v>52</v>
      </c>
    </row>
    <row r="26" spans="1:10" x14ac:dyDescent="0.25">
      <c r="A26" t="s">
        <v>51</v>
      </c>
      <c r="B26" t="s">
        <v>52</v>
      </c>
      <c r="C26" s="8">
        <v>10</v>
      </c>
      <c r="D26" s="8">
        <v>3</v>
      </c>
      <c r="E26" s="8">
        <v>4</v>
      </c>
      <c r="F26" s="8">
        <v>2</v>
      </c>
      <c r="G26" s="8">
        <v>1</v>
      </c>
      <c r="H26" s="8"/>
      <c r="I26" s="3">
        <f t="shared" si="0"/>
        <v>0</v>
      </c>
      <c r="J26" s="9">
        <v>155</v>
      </c>
    </row>
    <row r="27" spans="1:10" x14ac:dyDescent="0.25">
      <c r="A27" t="s">
        <v>53</v>
      </c>
      <c r="B27" t="s">
        <v>54</v>
      </c>
      <c r="C27" s="8">
        <v>29</v>
      </c>
      <c r="D27" s="8">
        <v>17</v>
      </c>
      <c r="E27" s="8">
        <v>10</v>
      </c>
      <c r="F27" s="8">
        <v>2</v>
      </c>
      <c r="G27" s="8"/>
      <c r="H27" s="8"/>
      <c r="I27" s="3">
        <f t="shared" si="0"/>
        <v>0</v>
      </c>
      <c r="J27" s="9">
        <v>44</v>
      </c>
    </row>
    <row r="28" spans="1:10" x14ac:dyDescent="0.25">
      <c r="A28" t="s">
        <v>55</v>
      </c>
      <c r="B28" t="s">
        <v>56</v>
      </c>
      <c r="C28" s="8">
        <v>100</v>
      </c>
      <c r="D28" s="8">
        <v>90</v>
      </c>
      <c r="E28" s="8">
        <v>10</v>
      </c>
      <c r="F28" s="8"/>
      <c r="G28" s="8"/>
      <c r="H28" s="8"/>
      <c r="I28" s="3">
        <f t="shared" si="0"/>
        <v>0</v>
      </c>
      <c r="J28" s="9">
        <v>13</v>
      </c>
    </row>
    <row r="29" spans="1:10" x14ac:dyDescent="0.25">
      <c r="A29" t="s">
        <v>57</v>
      </c>
      <c r="B29" t="s">
        <v>58</v>
      </c>
      <c r="C29" s="8">
        <v>100</v>
      </c>
      <c r="D29" s="8">
        <v>89</v>
      </c>
      <c r="E29" s="8">
        <v>10</v>
      </c>
      <c r="F29" s="8"/>
      <c r="G29" s="8">
        <v>1</v>
      </c>
      <c r="H29" s="8"/>
      <c r="I29" s="3">
        <f t="shared" si="0"/>
        <v>0</v>
      </c>
      <c r="J29" s="9">
        <v>54</v>
      </c>
    </row>
    <row r="30" spans="1:10" x14ac:dyDescent="0.25">
      <c r="A30" t="s">
        <v>59</v>
      </c>
      <c r="B30" t="s">
        <v>60</v>
      </c>
      <c r="C30" s="8">
        <v>10</v>
      </c>
      <c r="D30" s="8">
        <v>5</v>
      </c>
      <c r="E30" s="8">
        <v>4</v>
      </c>
      <c r="F30" s="8"/>
      <c r="G30" s="8">
        <v>1</v>
      </c>
      <c r="H30" s="8"/>
      <c r="I30" s="3">
        <f t="shared" si="0"/>
        <v>0</v>
      </c>
      <c r="J30" s="9">
        <v>67</v>
      </c>
    </row>
    <row r="31" spans="1:10" x14ac:dyDescent="0.25">
      <c r="A31" t="s">
        <v>61</v>
      </c>
      <c r="B31" t="s">
        <v>62</v>
      </c>
      <c r="C31" s="8">
        <v>20</v>
      </c>
      <c r="D31" s="8">
        <v>10</v>
      </c>
      <c r="E31" s="8">
        <v>10</v>
      </c>
      <c r="F31" s="8"/>
      <c r="G31" s="8"/>
      <c r="H31" s="8"/>
      <c r="I31" s="3">
        <f t="shared" si="0"/>
        <v>0</v>
      </c>
      <c r="J31" s="9">
        <v>9</v>
      </c>
    </row>
    <row r="32" spans="1:10" x14ac:dyDescent="0.25">
      <c r="A32" t="s">
        <v>63</v>
      </c>
      <c r="B32" t="s">
        <v>64</v>
      </c>
      <c r="C32" s="8">
        <v>100</v>
      </c>
      <c r="D32" s="8">
        <v>89</v>
      </c>
      <c r="E32" s="8">
        <v>10</v>
      </c>
      <c r="F32" s="8"/>
      <c r="G32" s="8">
        <v>1</v>
      </c>
      <c r="H32" s="8"/>
      <c r="I32" s="3">
        <f t="shared" si="0"/>
        <v>0</v>
      </c>
      <c r="J32" s="9">
        <v>48</v>
      </c>
    </row>
    <row r="33" spans="1:10" x14ac:dyDescent="0.25">
      <c r="A33" t="s">
        <v>65</v>
      </c>
      <c r="B33" t="s">
        <v>66</v>
      </c>
      <c r="C33" s="8">
        <v>20</v>
      </c>
      <c r="D33" s="8">
        <v>16</v>
      </c>
      <c r="E33" s="8">
        <v>4</v>
      </c>
      <c r="F33" s="8"/>
      <c r="G33" s="8"/>
      <c r="H33" s="8"/>
      <c r="I33" s="3">
        <f t="shared" si="0"/>
        <v>0</v>
      </c>
      <c r="J33" s="9">
        <v>13</v>
      </c>
    </row>
    <row r="34" spans="1:10" x14ac:dyDescent="0.25">
      <c r="A34" t="s">
        <v>67</v>
      </c>
      <c r="B34" t="s">
        <v>68</v>
      </c>
      <c r="C34" s="8">
        <v>21</v>
      </c>
      <c r="D34" s="8">
        <v>16</v>
      </c>
      <c r="E34" s="8">
        <v>4</v>
      </c>
      <c r="F34" s="8"/>
      <c r="G34" s="8">
        <v>1</v>
      </c>
      <c r="H34" s="8"/>
      <c r="I34" s="3">
        <f t="shared" si="0"/>
        <v>0</v>
      </c>
      <c r="J34" s="9">
        <v>40</v>
      </c>
    </row>
    <row r="35" spans="1:10" x14ac:dyDescent="0.25">
      <c r="A35" t="s">
        <v>69</v>
      </c>
      <c r="B35" t="s">
        <v>70</v>
      </c>
      <c r="C35" s="8">
        <v>4</v>
      </c>
      <c r="D35" s="8">
        <v>0</v>
      </c>
      <c r="E35" s="8">
        <v>2</v>
      </c>
      <c r="F35" s="8">
        <v>2</v>
      </c>
      <c r="G35" s="8"/>
      <c r="H35" s="8"/>
      <c r="I35" s="3">
        <f t="shared" si="0"/>
        <v>0</v>
      </c>
      <c r="J35" s="9">
        <v>23</v>
      </c>
    </row>
    <row r="36" spans="1:10" x14ac:dyDescent="0.25">
      <c r="A36" t="s">
        <v>71</v>
      </c>
      <c r="B36" t="s">
        <v>72</v>
      </c>
      <c r="C36" s="8">
        <v>50</v>
      </c>
      <c r="D36" s="8">
        <v>32</v>
      </c>
      <c r="E36" s="8">
        <v>10</v>
      </c>
      <c r="F36" s="8">
        <v>5</v>
      </c>
      <c r="G36" s="8">
        <v>3</v>
      </c>
      <c r="H36" s="8"/>
      <c r="I36" s="3">
        <f t="shared" si="0"/>
        <v>0</v>
      </c>
      <c r="J36" s="9">
        <v>64</v>
      </c>
    </row>
    <row r="37" spans="1:10" x14ac:dyDescent="0.25">
      <c r="A37" t="s">
        <v>73</v>
      </c>
      <c r="B37" t="s">
        <v>74</v>
      </c>
      <c r="C37" s="8">
        <v>98</v>
      </c>
      <c r="D37" s="8">
        <v>77</v>
      </c>
      <c r="E37" s="8">
        <v>8</v>
      </c>
      <c r="F37" s="8">
        <v>3</v>
      </c>
      <c r="G37" s="8">
        <v>10</v>
      </c>
      <c r="H37" s="8"/>
      <c r="I37" s="3">
        <f t="shared" si="0"/>
        <v>0</v>
      </c>
      <c r="J37" s="9">
        <v>34</v>
      </c>
    </row>
    <row r="38" spans="1:10" x14ac:dyDescent="0.25">
      <c r="A38" t="s">
        <v>75</v>
      </c>
      <c r="B38" t="s">
        <v>76</v>
      </c>
      <c r="C38" s="8">
        <v>10</v>
      </c>
      <c r="D38" s="8">
        <v>5</v>
      </c>
      <c r="E38" s="8">
        <v>4</v>
      </c>
      <c r="F38" s="8"/>
      <c r="G38" s="8">
        <v>1</v>
      </c>
      <c r="H38" s="8"/>
      <c r="I38" s="3">
        <f t="shared" si="0"/>
        <v>0</v>
      </c>
      <c r="J38" s="9">
        <v>40</v>
      </c>
    </row>
    <row r="39" spans="1:10" x14ac:dyDescent="0.25">
      <c r="A39" t="s">
        <v>77</v>
      </c>
      <c r="B39" t="s">
        <v>78</v>
      </c>
      <c r="C39" s="8">
        <v>5</v>
      </c>
      <c r="D39" s="8">
        <v>3</v>
      </c>
      <c r="E39" s="8">
        <v>2</v>
      </c>
      <c r="F39" s="8"/>
      <c r="G39" s="8"/>
      <c r="H39" s="8"/>
      <c r="I39" s="3">
        <f t="shared" si="0"/>
        <v>0</v>
      </c>
      <c r="J39" s="9">
        <v>35</v>
      </c>
    </row>
    <row r="40" spans="1:10" x14ac:dyDescent="0.25">
      <c r="A40" t="s">
        <v>79</v>
      </c>
      <c r="B40" t="s">
        <v>80</v>
      </c>
      <c r="C40" s="8">
        <v>10</v>
      </c>
      <c r="D40" s="8">
        <v>3</v>
      </c>
      <c r="E40" s="8">
        <v>4</v>
      </c>
      <c r="F40" s="8">
        <v>2</v>
      </c>
      <c r="G40" s="8">
        <v>1</v>
      </c>
      <c r="H40" s="8"/>
      <c r="I40" s="3">
        <f t="shared" si="0"/>
        <v>0</v>
      </c>
      <c r="J40" s="9">
        <v>253</v>
      </c>
    </row>
    <row r="41" spans="1:10" x14ac:dyDescent="0.25">
      <c r="A41" t="s">
        <v>81</v>
      </c>
      <c r="B41" t="s">
        <v>82</v>
      </c>
      <c r="C41" s="8">
        <v>800</v>
      </c>
      <c r="D41" s="8">
        <v>640</v>
      </c>
      <c r="E41" s="8">
        <v>80</v>
      </c>
      <c r="F41" s="8">
        <v>80</v>
      </c>
      <c r="G41" s="8"/>
      <c r="H41" s="8"/>
      <c r="I41" s="3">
        <f t="shared" si="0"/>
        <v>0</v>
      </c>
      <c r="J41" s="9">
        <v>3</v>
      </c>
    </row>
    <row r="42" spans="1:10" x14ac:dyDescent="0.25">
      <c r="A42" t="s">
        <v>83</v>
      </c>
      <c r="B42" t="s">
        <v>84</v>
      </c>
      <c r="C42" s="8">
        <v>401</v>
      </c>
      <c r="D42" s="8">
        <v>281</v>
      </c>
      <c r="E42" s="8">
        <v>40</v>
      </c>
      <c r="F42" s="8">
        <v>80</v>
      </c>
      <c r="G42" s="8"/>
      <c r="H42" s="8"/>
      <c r="I42" s="3">
        <f t="shared" si="0"/>
        <v>0</v>
      </c>
      <c r="J42" s="9">
        <v>5</v>
      </c>
    </row>
    <row r="43" spans="1:10" x14ac:dyDescent="0.25">
      <c r="A43" t="s">
        <v>85</v>
      </c>
      <c r="B43" t="s">
        <v>86</v>
      </c>
      <c r="C43" s="8">
        <v>10</v>
      </c>
      <c r="D43" s="8">
        <v>5</v>
      </c>
      <c r="E43" s="8">
        <v>4</v>
      </c>
      <c r="F43" s="8"/>
      <c r="G43" s="8">
        <v>1</v>
      </c>
      <c r="H43" s="8"/>
      <c r="I43" s="3">
        <f t="shared" si="0"/>
        <v>0</v>
      </c>
      <c r="J43" s="9">
        <v>13</v>
      </c>
    </row>
    <row r="44" spans="1:10" x14ac:dyDescent="0.25">
      <c r="A44" t="s">
        <v>87</v>
      </c>
      <c r="B44" t="s">
        <v>88</v>
      </c>
      <c r="C44" s="8">
        <v>20</v>
      </c>
      <c r="D44" s="8">
        <v>15</v>
      </c>
      <c r="E44" s="8">
        <v>5</v>
      </c>
      <c r="F44" s="8"/>
      <c r="G44" s="8"/>
      <c r="H44" s="8"/>
      <c r="I44" s="3">
        <f t="shared" si="0"/>
        <v>0</v>
      </c>
      <c r="J44" s="9">
        <v>8</v>
      </c>
    </row>
    <row r="45" spans="1:10" x14ac:dyDescent="0.25">
      <c r="A45" t="s">
        <v>89</v>
      </c>
      <c r="B45" t="s">
        <v>90</v>
      </c>
      <c r="C45" s="8">
        <v>5</v>
      </c>
      <c r="D45" s="8">
        <v>1</v>
      </c>
      <c r="E45" s="8">
        <v>2</v>
      </c>
      <c r="F45" s="8">
        <v>1</v>
      </c>
      <c r="G45" s="8">
        <v>1</v>
      </c>
      <c r="H45" s="8"/>
      <c r="I45" s="3">
        <f t="shared" si="0"/>
        <v>0</v>
      </c>
      <c r="J45" s="9">
        <v>35</v>
      </c>
    </row>
    <row r="46" spans="1:10" x14ac:dyDescent="0.25">
      <c r="A46" t="s">
        <v>91</v>
      </c>
      <c r="B46" t="s">
        <v>92</v>
      </c>
      <c r="C46" s="8">
        <v>2</v>
      </c>
      <c r="D46" s="8">
        <v>2</v>
      </c>
      <c r="E46" s="8"/>
      <c r="F46" s="8"/>
      <c r="G46" s="8"/>
      <c r="H46" s="8"/>
      <c r="I46" s="3">
        <f t="shared" si="0"/>
        <v>0</v>
      </c>
      <c r="J46" s="9">
        <v>255</v>
      </c>
    </row>
    <row r="47" spans="1:10" x14ac:dyDescent="0.25">
      <c r="A47" t="s">
        <v>93</v>
      </c>
      <c r="B47" t="s">
        <v>94</v>
      </c>
      <c r="C47" s="8">
        <v>100</v>
      </c>
      <c r="D47" s="8">
        <v>90</v>
      </c>
      <c r="E47" s="8">
        <v>10</v>
      </c>
      <c r="F47" s="8"/>
      <c r="G47" s="8"/>
      <c r="H47" s="8"/>
      <c r="I47" s="3">
        <f t="shared" si="0"/>
        <v>0</v>
      </c>
      <c r="J47" s="9">
        <v>7</v>
      </c>
    </row>
    <row r="48" spans="1:10" x14ac:dyDescent="0.25">
      <c r="A48" t="s">
        <v>95</v>
      </c>
      <c r="B48" t="s">
        <v>96</v>
      </c>
      <c r="C48" s="8">
        <v>20</v>
      </c>
      <c r="D48" s="8">
        <v>15</v>
      </c>
      <c r="E48" s="8">
        <v>5</v>
      </c>
      <c r="F48" s="8"/>
      <c r="G48" s="8"/>
      <c r="H48" s="8"/>
      <c r="I48" s="3">
        <f t="shared" si="0"/>
        <v>0</v>
      </c>
      <c r="J48" s="9">
        <v>40</v>
      </c>
    </row>
    <row r="49" spans="1:10" x14ac:dyDescent="0.25">
      <c r="A49" t="s">
        <v>97</v>
      </c>
      <c r="B49" t="s">
        <v>98</v>
      </c>
      <c r="C49" s="8">
        <v>20</v>
      </c>
      <c r="D49" s="8">
        <v>10</v>
      </c>
      <c r="E49" s="8">
        <v>5</v>
      </c>
      <c r="F49" s="8">
        <v>5</v>
      </c>
      <c r="G49" s="8"/>
      <c r="H49" s="8"/>
      <c r="I49" s="3">
        <f t="shared" si="0"/>
        <v>0</v>
      </c>
      <c r="J49" s="9">
        <v>52</v>
      </c>
    </row>
    <row r="50" spans="1:10" x14ac:dyDescent="0.25">
      <c r="A50" t="s">
        <v>99</v>
      </c>
      <c r="B50" t="s">
        <v>100</v>
      </c>
      <c r="C50" s="8">
        <v>2</v>
      </c>
      <c r="D50" s="8">
        <v>2</v>
      </c>
      <c r="E50" s="8"/>
      <c r="F50" s="8"/>
      <c r="G50" s="8"/>
      <c r="H50" s="8"/>
      <c r="I50" s="3">
        <f t="shared" si="0"/>
        <v>0</v>
      </c>
      <c r="J50" s="9">
        <v>303</v>
      </c>
    </row>
    <row r="51" spans="1:10" x14ac:dyDescent="0.25">
      <c r="A51" t="s">
        <v>101</v>
      </c>
      <c r="B51" t="s">
        <v>102</v>
      </c>
      <c r="C51" s="8">
        <v>20</v>
      </c>
      <c r="D51" s="8">
        <v>12</v>
      </c>
      <c r="E51" s="8">
        <v>5</v>
      </c>
      <c r="F51" s="8">
        <v>3</v>
      </c>
      <c r="G51" s="8"/>
      <c r="H51" s="8"/>
      <c r="I51" s="3">
        <f t="shared" si="0"/>
        <v>0</v>
      </c>
      <c r="J51" s="9">
        <v>50</v>
      </c>
    </row>
    <row r="52" spans="1:10" x14ac:dyDescent="0.25">
      <c r="A52" t="s">
        <v>103</v>
      </c>
      <c r="B52" t="s">
        <v>104</v>
      </c>
      <c r="C52" s="8">
        <v>2</v>
      </c>
      <c r="D52" s="8">
        <v>2</v>
      </c>
      <c r="E52" s="8"/>
      <c r="F52" s="8"/>
      <c r="G52" s="8"/>
      <c r="H52" s="8"/>
      <c r="I52" s="3">
        <f t="shared" si="0"/>
        <v>0</v>
      </c>
      <c r="J52" s="9">
        <v>448</v>
      </c>
    </row>
    <row r="53" spans="1:10" x14ac:dyDescent="0.25">
      <c r="A53" t="s">
        <v>105</v>
      </c>
      <c r="B53" t="s">
        <v>106</v>
      </c>
      <c r="C53" s="8">
        <v>100</v>
      </c>
      <c r="D53" s="8">
        <v>62</v>
      </c>
      <c r="E53" s="8">
        <v>20</v>
      </c>
      <c r="F53" s="8">
        <v>10</v>
      </c>
      <c r="G53" s="8">
        <v>8</v>
      </c>
      <c r="H53" s="8"/>
      <c r="I53" s="3">
        <f t="shared" si="0"/>
        <v>0</v>
      </c>
      <c r="J53" s="9">
        <v>15</v>
      </c>
    </row>
    <row r="54" spans="1:10" x14ac:dyDescent="0.25">
      <c r="A54" t="s">
        <v>107</v>
      </c>
      <c r="B54" t="s">
        <v>108</v>
      </c>
      <c r="C54" s="8">
        <v>2</v>
      </c>
      <c r="D54" s="8">
        <v>2</v>
      </c>
      <c r="E54" s="8"/>
      <c r="F54" s="8"/>
      <c r="G54" s="8"/>
      <c r="H54" s="8"/>
      <c r="I54" s="3">
        <f t="shared" si="0"/>
        <v>0</v>
      </c>
      <c r="J54" s="9">
        <v>228</v>
      </c>
    </row>
    <row r="55" spans="1:10" x14ac:dyDescent="0.25">
      <c r="A55" t="s">
        <v>109</v>
      </c>
      <c r="B55" t="s">
        <v>110</v>
      </c>
      <c r="C55" s="8">
        <v>2</v>
      </c>
      <c r="D55" s="8">
        <v>2</v>
      </c>
      <c r="E55" s="8"/>
      <c r="F55" s="8"/>
      <c r="G55" s="8"/>
      <c r="H55" s="8"/>
      <c r="I55" s="3">
        <f t="shared" si="0"/>
        <v>0</v>
      </c>
      <c r="J55" s="9">
        <v>332</v>
      </c>
    </row>
    <row r="56" spans="1:10" x14ac:dyDescent="0.25">
      <c r="A56" t="s">
        <v>111</v>
      </c>
      <c r="B56" t="s">
        <v>112</v>
      </c>
      <c r="C56" s="8">
        <v>200</v>
      </c>
      <c r="D56" s="8">
        <v>147</v>
      </c>
      <c r="E56" s="8">
        <v>20</v>
      </c>
      <c r="F56" s="8">
        <v>30</v>
      </c>
      <c r="G56" s="8">
        <v>3</v>
      </c>
      <c r="H56" s="8"/>
      <c r="I56" s="3">
        <f t="shared" si="0"/>
        <v>0</v>
      </c>
      <c r="J56" s="9">
        <v>17</v>
      </c>
    </row>
    <row r="57" spans="1:10" x14ac:dyDescent="0.25">
      <c r="A57" t="s">
        <v>113</v>
      </c>
      <c r="B57" t="s">
        <v>114</v>
      </c>
      <c r="C57" s="8">
        <v>100</v>
      </c>
      <c r="D57" s="8">
        <v>70</v>
      </c>
      <c r="E57" s="8">
        <v>20</v>
      </c>
      <c r="F57" s="8">
        <v>10</v>
      </c>
      <c r="G57" s="8"/>
      <c r="H57" s="8"/>
      <c r="I57" s="3">
        <f t="shared" si="0"/>
        <v>0</v>
      </c>
      <c r="J57" s="9">
        <v>12</v>
      </c>
    </row>
    <row r="58" spans="1:10" x14ac:dyDescent="0.25">
      <c r="A58" t="s">
        <v>115</v>
      </c>
      <c r="B58" t="s">
        <v>116</v>
      </c>
      <c r="C58" s="8">
        <v>100</v>
      </c>
      <c r="D58" s="8">
        <v>70</v>
      </c>
      <c r="E58" s="8">
        <v>20</v>
      </c>
      <c r="F58" s="8">
        <v>10</v>
      </c>
      <c r="G58" s="8"/>
      <c r="H58" s="8"/>
      <c r="I58" s="3">
        <f t="shared" si="0"/>
        <v>0</v>
      </c>
      <c r="J58" s="9">
        <v>9</v>
      </c>
    </row>
    <row r="59" spans="1:10" x14ac:dyDescent="0.25">
      <c r="A59" t="s">
        <v>117</v>
      </c>
      <c r="B59" t="s">
        <v>118</v>
      </c>
      <c r="C59" s="8">
        <v>100</v>
      </c>
      <c r="D59" s="8">
        <v>65</v>
      </c>
      <c r="E59" s="8">
        <v>20</v>
      </c>
      <c r="F59" s="8">
        <v>10</v>
      </c>
      <c r="G59" s="8">
        <v>5</v>
      </c>
      <c r="H59" s="8"/>
      <c r="I59" s="3">
        <f t="shared" si="0"/>
        <v>0</v>
      </c>
      <c r="J59" s="9">
        <v>7</v>
      </c>
    </row>
    <row r="60" spans="1:10" x14ac:dyDescent="0.25">
      <c r="A60" t="s">
        <v>119</v>
      </c>
      <c r="B60" t="s">
        <v>120</v>
      </c>
      <c r="C60" s="8">
        <v>100</v>
      </c>
      <c r="D60" s="8">
        <v>65</v>
      </c>
      <c r="E60" s="8">
        <v>20</v>
      </c>
      <c r="F60" s="8">
        <v>10</v>
      </c>
      <c r="G60" s="8">
        <v>5</v>
      </c>
      <c r="H60" s="8"/>
      <c r="I60" s="3">
        <f t="shared" si="0"/>
        <v>0</v>
      </c>
      <c r="J60" s="9">
        <v>3</v>
      </c>
    </row>
    <row r="61" spans="1:10" x14ac:dyDescent="0.25">
      <c r="A61" t="s">
        <v>121</v>
      </c>
      <c r="B61" t="s">
        <v>122</v>
      </c>
      <c r="C61" s="8">
        <v>10</v>
      </c>
      <c r="D61" s="8">
        <v>7</v>
      </c>
      <c r="E61" s="8">
        <v>2</v>
      </c>
      <c r="F61" s="8"/>
      <c r="G61" s="8">
        <v>1</v>
      </c>
      <c r="H61" s="8"/>
      <c r="I61" s="3">
        <f t="shared" si="0"/>
        <v>0</v>
      </c>
      <c r="J61" s="9">
        <v>43</v>
      </c>
    </row>
    <row r="62" spans="1:10" x14ac:dyDescent="0.25">
      <c r="A62" t="s">
        <v>123</v>
      </c>
      <c r="B62" t="s">
        <v>124</v>
      </c>
      <c r="C62" s="8">
        <v>8</v>
      </c>
      <c r="D62" s="8">
        <v>6</v>
      </c>
      <c r="E62" s="8">
        <v>2</v>
      </c>
      <c r="F62" s="8"/>
      <c r="G62" s="8"/>
      <c r="H62" s="8"/>
      <c r="I62" s="3">
        <f t="shared" si="0"/>
        <v>0</v>
      </c>
      <c r="J62" s="9">
        <v>86</v>
      </c>
    </row>
    <row r="63" spans="1:10" x14ac:dyDescent="0.25">
      <c r="A63" t="s">
        <v>125</v>
      </c>
      <c r="B63" t="s">
        <v>126</v>
      </c>
      <c r="C63" s="8">
        <v>50</v>
      </c>
      <c r="D63" s="8">
        <v>33</v>
      </c>
      <c r="E63" s="8">
        <v>10</v>
      </c>
      <c r="F63" s="8">
        <v>5</v>
      </c>
      <c r="G63" s="8">
        <v>2</v>
      </c>
      <c r="H63" s="8"/>
      <c r="I63" s="3">
        <f t="shared" si="0"/>
        <v>0</v>
      </c>
      <c r="J63" s="9">
        <v>13</v>
      </c>
    </row>
    <row r="64" spans="1:10" x14ac:dyDescent="0.25">
      <c r="A64" t="s">
        <v>127</v>
      </c>
      <c r="B64" t="s">
        <v>128</v>
      </c>
      <c r="C64" s="8">
        <v>20</v>
      </c>
      <c r="D64" s="8">
        <v>8</v>
      </c>
      <c r="E64" s="8">
        <v>5</v>
      </c>
      <c r="F64" s="8">
        <v>5</v>
      </c>
      <c r="G64" s="8">
        <v>2</v>
      </c>
      <c r="H64" s="8"/>
      <c r="I64" s="3">
        <f t="shared" si="0"/>
        <v>0</v>
      </c>
      <c r="J64" s="9">
        <v>7</v>
      </c>
    </row>
    <row r="65" spans="1:10" x14ac:dyDescent="0.25">
      <c r="A65" t="s">
        <v>129</v>
      </c>
      <c r="B65" t="s">
        <v>130</v>
      </c>
      <c r="C65" s="8">
        <v>3</v>
      </c>
      <c r="D65" s="8">
        <v>3</v>
      </c>
      <c r="E65" s="8"/>
      <c r="F65" s="8"/>
      <c r="G65" s="8"/>
      <c r="H65" s="8"/>
      <c r="I65" s="3">
        <f t="shared" si="0"/>
        <v>0</v>
      </c>
      <c r="J65" s="9">
        <v>112</v>
      </c>
    </row>
    <row r="66" spans="1:10" x14ac:dyDescent="0.25">
      <c r="A66" t="s">
        <v>131</v>
      </c>
      <c r="B66" t="s">
        <v>132</v>
      </c>
      <c r="C66" s="8">
        <v>50</v>
      </c>
      <c r="D66" s="8">
        <v>35</v>
      </c>
      <c r="E66" s="8">
        <v>10</v>
      </c>
      <c r="F66" s="8">
        <v>3</v>
      </c>
      <c r="G66" s="8">
        <v>2</v>
      </c>
      <c r="H66" s="8"/>
      <c r="I66" s="3">
        <f t="shared" si="0"/>
        <v>0</v>
      </c>
      <c r="J66" s="9">
        <v>3</v>
      </c>
    </row>
    <row r="67" spans="1:10" x14ac:dyDescent="0.25">
      <c r="A67" t="s">
        <v>133</v>
      </c>
      <c r="B67" t="s">
        <v>134</v>
      </c>
      <c r="C67" s="8">
        <v>10</v>
      </c>
      <c r="D67" s="8">
        <v>5</v>
      </c>
      <c r="E67" s="8">
        <v>2</v>
      </c>
      <c r="F67" s="8">
        <v>3</v>
      </c>
      <c r="G67" s="8"/>
      <c r="H67" s="8"/>
      <c r="I67" s="3">
        <f t="shared" ref="I67:I130" si="1">+C67-D67-E67-F67-G67-H67</f>
        <v>0</v>
      </c>
      <c r="J67" s="9">
        <v>4</v>
      </c>
    </row>
    <row r="68" spans="1:10" x14ac:dyDescent="0.25">
      <c r="A68" t="s">
        <v>135</v>
      </c>
      <c r="B68" t="s">
        <v>136</v>
      </c>
      <c r="C68" s="8">
        <v>20</v>
      </c>
      <c r="D68" s="8">
        <v>14</v>
      </c>
      <c r="E68" s="8">
        <v>6</v>
      </c>
      <c r="F68" s="8"/>
      <c r="G68" s="8"/>
      <c r="H68" s="8"/>
      <c r="I68" s="3">
        <f t="shared" si="1"/>
        <v>0</v>
      </c>
      <c r="J68" s="9">
        <v>14</v>
      </c>
    </row>
    <row r="69" spans="1:10" x14ac:dyDescent="0.25">
      <c r="A69" t="s">
        <v>137</v>
      </c>
      <c r="B69" t="s">
        <v>138</v>
      </c>
      <c r="C69" s="8">
        <v>95</v>
      </c>
      <c r="D69" s="8">
        <v>83</v>
      </c>
      <c r="E69" s="8">
        <v>10</v>
      </c>
      <c r="F69" s="8"/>
      <c r="G69" s="8">
        <v>2</v>
      </c>
      <c r="H69" s="8"/>
      <c r="I69" s="3">
        <f t="shared" si="1"/>
        <v>0</v>
      </c>
      <c r="J69" s="9">
        <v>5</v>
      </c>
    </row>
    <row r="70" spans="1:10" x14ac:dyDescent="0.25">
      <c r="A70" t="s">
        <v>139</v>
      </c>
      <c r="B70" t="s">
        <v>140</v>
      </c>
      <c r="C70" s="8">
        <v>20</v>
      </c>
      <c r="D70" s="8">
        <v>10</v>
      </c>
      <c r="E70" s="8">
        <v>10</v>
      </c>
      <c r="F70" s="8"/>
      <c r="G70" s="8"/>
      <c r="H70" s="8"/>
      <c r="I70" s="3">
        <f t="shared" si="1"/>
        <v>0</v>
      </c>
      <c r="J70" s="9">
        <v>4</v>
      </c>
    </row>
    <row r="71" spans="1:10" x14ac:dyDescent="0.25">
      <c r="A71" t="s">
        <v>141</v>
      </c>
      <c r="B71" t="s">
        <v>142</v>
      </c>
      <c r="C71" s="8">
        <v>20</v>
      </c>
      <c r="D71" s="8">
        <v>10</v>
      </c>
      <c r="E71" s="8">
        <v>10</v>
      </c>
      <c r="F71" s="8"/>
      <c r="G71" s="8"/>
      <c r="H71" s="8"/>
      <c r="I71" s="3">
        <f t="shared" si="1"/>
        <v>0</v>
      </c>
      <c r="J71" s="9">
        <v>7</v>
      </c>
    </row>
    <row r="72" spans="1:10" x14ac:dyDescent="0.25">
      <c r="A72" t="s">
        <v>143</v>
      </c>
      <c r="B72" t="s">
        <v>144</v>
      </c>
      <c r="C72" s="8">
        <v>10</v>
      </c>
      <c r="D72" s="8">
        <v>7</v>
      </c>
      <c r="E72" s="8">
        <v>3</v>
      </c>
      <c r="F72" s="8"/>
      <c r="G72" s="8"/>
      <c r="H72" s="8"/>
      <c r="I72" s="3">
        <f t="shared" si="1"/>
        <v>0</v>
      </c>
      <c r="J72" s="9">
        <v>12</v>
      </c>
    </row>
    <row r="73" spans="1:10" x14ac:dyDescent="0.25">
      <c r="A73" t="s">
        <v>145</v>
      </c>
      <c r="B73" t="s">
        <v>146</v>
      </c>
      <c r="C73" s="8">
        <v>60</v>
      </c>
      <c r="D73" s="8">
        <v>25</v>
      </c>
      <c r="E73" s="8">
        <v>10</v>
      </c>
      <c r="F73" s="8">
        <v>20</v>
      </c>
      <c r="G73" s="8">
        <v>5</v>
      </c>
      <c r="H73" s="8"/>
      <c r="I73" s="3">
        <f t="shared" si="1"/>
        <v>0</v>
      </c>
      <c r="J73" s="9">
        <v>19</v>
      </c>
    </row>
    <row r="74" spans="1:10" x14ac:dyDescent="0.25">
      <c r="A74" t="s">
        <v>147</v>
      </c>
      <c r="B74" t="s">
        <v>148</v>
      </c>
      <c r="C74" s="8">
        <v>2</v>
      </c>
      <c r="D74" s="8">
        <v>2</v>
      </c>
      <c r="E74" s="8"/>
      <c r="F74" s="8"/>
      <c r="G74" s="8"/>
      <c r="H74" s="8"/>
      <c r="I74" s="3">
        <f t="shared" si="1"/>
        <v>0</v>
      </c>
      <c r="J74" s="9">
        <v>19</v>
      </c>
    </row>
    <row r="75" spans="1:10" x14ac:dyDescent="0.25">
      <c r="A75" t="s">
        <v>149</v>
      </c>
      <c r="B75" t="s">
        <v>150</v>
      </c>
      <c r="C75" s="8">
        <v>100</v>
      </c>
      <c r="D75" s="8">
        <v>80</v>
      </c>
      <c r="E75" s="8">
        <v>10</v>
      </c>
      <c r="F75" s="8">
        <v>10</v>
      </c>
      <c r="G75" s="8"/>
      <c r="H75" s="8"/>
      <c r="I75" s="3">
        <f t="shared" si="1"/>
        <v>0</v>
      </c>
      <c r="J75" s="9">
        <v>8</v>
      </c>
    </row>
    <row r="76" spans="1:10" x14ac:dyDescent="0.25">
      <c r="A76" t="s">
        <v>151</v>
      </c>
      <c r="B76" t="s">
        <v>152</v>
      </c>
      <c r="C76" s="8">
        <v>100</v>
      </c>
      <c r="D76" s="8">
        <v>75</v>
      </c>
      <c r="E76" s="8">
        <v>10</v>
      </c>
      <c r="F76" s="8">
        <v>10</v>
      </c>
      <c r="G76" s="8">
        <v>5</v>
      </c>
      <c r="H76" s="8"/>
      <c r="I76" s="3">
        <f t="shared" si="1"/>
        <v>0</v>
      </c>
      <c r="J76" s="9">
        <v>13</v>
      </c>
    </row>
    <row r="77" spans="1:10" x14ac:dyDescent="0.25">
      <c r="A77" t="s">
        <v>153</v>
      </c>
      <c r="B77" t="s">
        <v>154</v>
      </c>
      <c r="C77" s="8">
        <v>50</v>
      </c>
      <c r="D77" s="8">
        <v>22</v>
      </c>
      <c r="E77" s="8">
        <v>10</v>
      </c>
      <c r="F77" s="8">
        <v>15</v>
      </c>
      <c r="G77" s="8">
        <v>3</v>
      </c>
      <c r="H77" s="8"/>
      <c r="I77" s="3">
        <f t="shared" si="1"/>
        <v>0</v>
      </c>
      <c r="J77" s="9">
        <v>9</v>
      </c>
    </row>
    <row r="78" spans="1:10" x14ac:dyDescent="0.25">
      <c r="A78" t="s">
        <v>155</v>
      </c>
      <c r="B78" t="s">
        <v>156</v>
      </c>
      <c r="C78" s="8">
        <v>16</v>
      </c>
      <c r="D78" s="8">
        <v>4</v>
      </c>
      <c r="E78" s="8">
        <v>5</v>
      </c>
      <c r="F78" s="8">
        <v>5</v>
      </c>
      <c r="G78" s="8">
        <v>2</v>
      </c>
      <c r="H78" s="8"/>
      <c r="I78" s="3">
        <f t="shared" si="1"/>
        <v>0</v>
      </c>
      <c r="J78" s="9">
        <v>16</v>
      </c>
    </row>
    <row r="79" spans="1:10" x14ac:dyDescent="0.25">
      <c r="A79" t="s">
        <v>157</v>
      </c>
      <c r="B79" t="s">
        <v>158</v>
      </c>
      <c r="C79" s="8">
        <v>26</v>
      </c>
      <c r="D79" s="8">
        <v>14</v>
      </c>
      <c r="E79" s="8">
        <v>5</v>
      </c>
      <c r="F79" s="8">
        <v>5</v>
      </c>
      <c r="G79" s="8">
        <v>2</v>
      </c>
      <c r="H79" s="8"/>
      <c r="I79" s="3">
        <f t="shared" si="1"/>
        <v>0</v>
      </c>
      <c r="J79" s="9">
        <v>6</v>
      </c>
    </row>
    <row r="80" spans="1:10" x14ac:dyDescent="0.25">
      <c r="A80" t="s">
        <v>159</v>
      </c>
      <c r="B80" t="s">
        <v>160</v>
      </c>
      <c r="C80" s="8">
        <v>5000</v>
      </c>
      <c r="D80" s="8">
        <v>4320</v>
      </c>
      <c r="E80" s="8">
        <v>500</v>
      </c>
      <c r="F80" s="8">
        <v>50</v>
      </c>
      <c r="G80" s="8">
        <v>80</v>
      </c>
      <c r="H80" s="8">
        <v>50</v>
      </c>
      <c r="I80" s="3">
        <f t="shared" si="1"/>
        <v>0</v>
      </c>
      <c r="J80" s="9">
        <v>2</v>
      </c>
    </row>
    <row r="81" spans="1:10" x14ac:dyDescent="0.25">
      <c r="A81" t="s">
        <v>161</v>
      </c>
      <c r="B81" t="s">
        <v>162</v>
      </c>
      <c r="C81" s="8">
        <v>100</v>
      </c>
      <c r="D81" s="8">
        <v>50</v>
      </c>
      <c r="E81" s="8">
        <v>30</v>
      </c>
      <c r="F81" s="8">
        <v>5</v>
      </c>
      <c r="G81" s="8">
        <v>10</v>
      </c>
      <c r="H81" s="8">
        <v>5</v>
      </c>
      <c r="I81" s="3">
        <f t="shared" si="1"/>
        <v>0</v>
      </c>
      <c r="J81" s="9">
        <v>6</v>
      </c>
    </row>
    <row r="82" spans="1:10" x14ac:dyDescent="0.25">
      <c r="A82" t="s">
        <v>163</v>
      </c>
      <c r="B82" t="s">
        <v>164</v>
      </c>
      <c r="C82" s="8">
        <v>100</v>
      </c>
      <c r="D82" s="8">
        <v>58</v>
      </c>
      <c r="E82" s="8">
        <v>30</v>
      </c>
      <c r="F82" s="8">
        <v>12</v>
      </c>
      <c r="G82" s="8"/>
      <c r="H82" s="8"/>
      <c r="I82" s="3">
        <f t="shared" si="1"/>
        <v>0</v>
      </c>
      <c r="J82" s="9">
        <v>27</v>
      </c>
    </row>
    <row r="83" spans="1:10" x14ac:dyDescent="0.25">
      <c r="A83" t="s">
        <v>165</v>
      </c>
      <c r="B83" t="s">
        <v>166</v>
      </c>
      <c r="C83" s="8">
        <v>100</v>
      </c>
      <c r="D83" s="8">
        <v>52</v>
      </c>
      <c r="E83" s="8">
        <v>30</v>
      </c>
      <c r="F83" s="8">
        <v>16</v>
      </c>
      <c r="G83" s="8">
        <v>2</v>
      </c>
      <c r="H83" s="8"/>
      <c r="I83" s="3">
        <f t="shared" si="1"/>
        <v>0</v>
      </c>
      <c r="J83" s="9">
        <v>29</v>
      </c>
    </row>
    <row r="84" spans="1:10" x14ac:dyDescent="0.25">
      <c r="A84" t="s">
        <v>167</v>
      </c>
      <c r="B84" t="s">
        <v>168</v>
      </c>
      <c r="C84" s="8">
        <v>50</v>
      </c>
      <c r="D84" s="8">
        <v>25</v>
      </c>
      <c r="E84" s="8">
        <v>10</v>
      </c>
      <c r="F84" s="8">
        <v>10</v>
      </c>
      <c r="G84" s="8">
        <v>5</v>
      </c>
      <c r="H84" s="8"/>
      <c r="I84" s="3">
        <f t="shared" si="1"/>
        <v>0</v>
      </c>
      <c r="J84" s="9">
        <v>5</v>
      </c>
    </row>
    <row r="85" spans="1:10" x14ac:dyDescent="0.25">
      <c r="A85" s="11" t="s">
        <v>169</v>
      </c>
      <c r="B85" s="11" t="s">
        <v>170</v>
      </c>
      <c r="C85" s="12">
        <v>42</v>
      </c>
      <c r="D85" s="8">
        <v>17</v>
      </c>
      <c r="E85" s="8">
        <v>10</v>
      </c>
      <c r="F85" s="8">
        <v>10</v>
      </c>
      <c r="G85" s="8">
        <v>5</v>
      </c>
      <c r="H85" s="8"/>
      <c r="I85" s="3">
        <f t="shared" si="1"/>
        <v>0</v>
      </c>
      <c r="J85" s="9">
        <v>5</v>
      </c>
    </row>
    <row r="86" spans="1:10" x14ac:dyDescent="0.25">
      <c r="A86" t="s">
        <v>171</v>
      </c>
      <c r="B86" t="s">
        <v>172</v>
      </c>
      <c r="C86" s="8">
        <v>50</v>
      </c>
      <c r="D86" s="8">
        <v>25</v>
      </c>
      <c r="E86" s="8">
        <v>10</v>
      </c>
      <c r="F86" s="8">
        <v>10</v>
      </c>
      <c r="G86" s="8">
        <v>5</v>
      </c>
      <c r="H86" s="8"/>
      <c r="I86" s="3">
        <f t="shared" si="1"/>
        <v>0</v>
      </c>
      <c r="J86" s="9">
        <v>5</v>
      </c>
    </row>
    <row r="87" spans="1:10" x14ac:dyDescent="0.25">
      <c r="A87" t="s">
        <v>173</v>
      </c>
      <c r="B87" t="s">
        <v>174</v>
      </c>
      <c r="C87" s="8">
        <v>100</v>
      </c>
      <c r="D87" s="8">
        <v>42</v>
      </c>
      <c r="E87" s="8">
        <v>30</v>
      </c>
      <c r="F87" s="8">
        <v>20</v>
      </c>
      <c r="G87" s="8">
        <v>8</v>
      </c>
      <c r="H87" s="8"/>
      <c r="I87" s="3">
        <f t="shared" si="1"/>
        <v>0</v>
      </c>
      <c r="J87" s="9">
        <v>3</v>
      </c>
    </row>
    <row r="88" spans="1:10" x14ac:dyDescent="0.25">
      <c r="A88" t="s">
        <v>175</v>
      </c>
      <c r="B88" t="s">
        <v>176</v>
      </c>
      <c r="C88" s="8">
        <v>100</v>
      </c>
      <c r="D88" s="8">
        <v>52</v>
      </c>
      <c r="E88" s="8">
        <v>30</v>
      </c>
      <c r="F88" s="8">
        <v>10</v>
      </c>
      <c r="G88" s="8">
        <v>8</v>
      </c>
      <c r="H88" s="8"/>
      <c r="I88" s="3">
        <f t="shared" si="1"/>
        <v>0</v>
      </c>
      <c r="J88" s="9">
        <v>6</v>
      </c>
    </row>
    <row r="89" spans="1:10" x14ac:dyDescent="0.25">
      <c r="A89" t="s">
        <v>177</v>
      </c>
      <c r="B89" t="s">
        <v>178</v>
      </c>
      <c r="C89" s="8">
        <v>200</v>
      </c>
      <c r="D89" s="8">
        <v>157</v>
      </c>
      <c r="E89" s="8">
        <v>30</v>
      </c>
      <c r="F89" s="8">
        <v>5</v>
      </c>
      <c r="G89" s="8">
        <v>8</v>
      </c>
      <c r="H89" s="8"/>
      <c r="I89" s="3">
        <f t="shared" si="1"/>
        <v>0</v>
      </c>
      <c r="J89" s="9">
        <v>4</v>
      </c>
    </row>
    <row r="90" spans="1:10" x14ac:dyDescent="0.25">
      <c r="A90" t="s">
        <v>179</v>
      </c>
      <c r="B90" t="s">
        <v>180</v>
      </c>
      <c r="C90" s="8">
        <v>100</v>
      </c>
      <c r="D90" s="8">
        <v>67</v>
      </c>
      <c r="E90" s="8">
        <v>20</v>
      </c>
      <c r="F90" s="8">
        <v>5</v>
      </c>
      <c r="G90" s="8">
        <v>8</v>
      </c>
      <c r="H90" s="8"/>
      <c r="I90" s="3">
        <f t="shared" si="1"/>
        <v>0</v>
      </c>
      <c r="J90" s="9">
        <v>5</v>
      </c>
    </row>
    <row r="91" spans="1:10" x14ac:dyDescent="0.25">
      <c r="A91" t="s">
        <v>181</v>
      </c>
      <c r="B91" t="s">
        <v>182</v>
      </c>
      <c r="C91" s="8">
        <v>2</v>
      </c>
      <c r="D91" s="8">
        <v>2</v>
      </c>
      <c r="E91" s="8"/>
      <c r="F91" s="8"/>
      <c r="G91" s="8"/>
      <c r="H91" s="8"/>
      <c r="I91" s="3">
        <f t="shared" si="1"/>
        <v>0</v>
      </c>
      <c r="J91" s="9">
        <v>114</v>
      </c>
    </row>
    <row r="92" spans="1:10" x14ac:dyDescent="0.25">
      <c r="A92" t="s">
        <v>183</v>
      </c>
      <c r="B92" t="s">
        <v>184</v>
      </c>
      <c r="C92" s="8">
        <v>2</v>
      </c>
      <c r="D92" s="8">
        <v>2</v>
      </c>
      <c r="E92" s="8"/>
      <c r="F92" s="8"/>
      <c r="G92" s="8"/>
      <c r="H92" s="8"/>
      <c r="I92" s="3">
        <f t="shared" si="1"/>
        <v>0</v>
      </c>
      <c r="J92" s="9">
        <v>144</v>
      </c>
    </row>
    <row r="93" spans="1:10" x14ac:dyDescent="0.25">
      <c r="A93" t="s">
        <v>185</v>
      </c>
      <c r="B93" t="s">
        <v>186</v>
      </c>
      <c r="C93" s="8">
        <v>20</v>
      </c>
      <c r="D93" s="8">
        <v>13</v>
      </c>
      <c r="E93" s="8">
        <v>5</v>
      </c>
      <c r="F93" s="8"/>
      <c r="G93" s="8">
        <v>2</v>
      </c>
      <c r="H93" s="8"/>
      <c r="I93" s="3">
        <f t="shared" si="1"/>
        <v>0</v>
      </c>
      <c r="J93" s="9">
        <v>48</v>
      </c>
    </row>
    <row r="94" spans="1:10" x14ac:dyDescent="0.25">
      <c r="A94" t="s">
        <v>187</v>
      </c>
      <c r="B94" t="s">
        <v>188</v>
      </c>
      <c r="C94" s="8">
        <v>24</v>
      </c>
      <c r="D94" s="8">
        <v>19</v>
      </c>
      <c r="E94" s="8">
        <v>5</v>
      </c>
      <c r="F94" s="8"/>
      <c r="G94" s="8"/>
      <c r="H94" s="8"/>
      <c r="I94" s="3">
        <f t="shared" si="1"/>
        <v>0</v>
      </c>
      <c r="J94" s="9">
        <v>50</v>
      </c>
    </row>
    <row r="95" spans="1:10" x14ac:dyDescent="0.25">
      <c r="A95" s="11" t="s">
        <v>189</v>
      </c>
      <c r="B95" s="11" t="s">
        <v>190</v>
      </c>
      <c r="C95" s="12">
        <v>36</v>
      </c>
      <c r="D95" s="8">
        <v>19</v>
      </c>
      <c r="E95" s="8">
        <v>10</v>
      </c>
      <c r="F95" s="8">
        <v>5</v>
      </c>
      <c r="G95" s="8">
        <v>2</v>
      </c>
      <c r="H95" s="8"/>
      <c r="I95" s="3">
        <f t="shared" si="1"/>
        <v>0</v>
      </c>
      <c r="J95" s="9">
        <v>40</v>
      </c>
    </row>
    <row r="96" spans="1:10" x14ac:dyDescent="0.25">
      <c r="A96" t="s">
        <v>191</v>
      </c>
      <c r="B96" t="s">
        <v>192</v>
      </c>
      <c r="C96" s="8">
        <v>10</v>
      </c>
      <c r="D96" s="8">
        <v>6</v>
      </c>
      <c r="E96" s="8">
        <v>3</v>
      </c>
      <c r="F96" s="8"/>
      <c r="G96" s="8">
        <v>1</v>
      </c>
      <c r="H96" s="8"/>
      <c r="I96" s="3">
        <f t="shared" si="1"/>
        <v>0</v>
      </c>
      <c r="J96" s="9">
        <v>27</v>
      </c>
    </row>
    <row r="97" spans="1:10" x14ac:dyDescent="0.25">
      <c r="A97" t="s">
        <v>193</v>
      </c>
      <c r="B97" t="s">
        <v>194</v>
      </c>
      <c r="C97" s="8">
        <v>20</v>
      </c>
      <c r="D97" s="8">
        <v>14</v>
      </c>
      <c r="E97" s="8">
        <v>5</v>
      </c>
      <c r="F97" s="8"/>
      <c r="G97" s="8">
        <v>1</v>
      </c>
      <c r="H97" s="8"/>
      <c r="I97" s="3">
        <f t="shared" si="1"/>
        <v>0</v>
      </c>
      <c r="J97" s="9">
        <v>21</v>
      </c>
    </row>
    <row r="98" spans="1:10" x14ac:dyDescent="0.25">
      <c r="A98" t="s">
        <v>195</v>
      </c>
      <c r="B98" t="s">
        <v>196</v>
      </c>
      <c r="C98" s="8">
        <v>10</v>
      </c>
      <c r="D98" s="8">
        <v>6</v>
      </c>
      <c r="E98" s="8">
        <v>3</v>
      </c>
      <c r="F98" s="8"/>
      <c r="G98" s="8">
        <v>1</v>
      </c>
      <c r="H98" s="8"/>
      <c r="I98" s="3">
        <f t="shared" si="1"/>
        <v>0</v>
      </c>
      <c r="J98" s="9">
        <v>45</v>
      </c>
    </row>
    <row r="99" spans="1:10" x14ac:dyDescent="0.25">
      <c r="A99" t="s">
        <v>197</v>
      </c>
      <c r="B99" t="s">
        <v>198</v>
      </c>
      <c r="C99" s="8">
        <v>20</v>
      </c>
      <c r="D99" s="8">
        <v>14</v>
      </c>
      <c r="E99" s="8">
        <v>5</v>
      </c>
      <c r="F99" s="8"/>
      <c r="G99" s="8">
        <v>1</v>
      </c>
      <c r="H99" s="8"/>
      <c r="I99" s="3">
        <f t="shared" si="1"/>
        <v>0</v>
      </c>
      <c r="J99" s="9">
        <v>26</v>
      </c>
    </row>
    <row r="100" spans="1:10" x14ac:dyDescent="0.25">
      <c r="A100" t="s">
        <v>199</v>
      </c>
      <c r="B100" t="s">
        <v>200</v>
      </c>
      <c r="C100" s="8">
        <v>10</v>
      </c>
      <c r="D100" s="8">
        <v>6</v>
      </c>
      <c r="E100" s="8">
        <v>3</v>
      </c>
      <c r="F100" s="8"/>
      <c r="G100" s="8">
        <v>1</v>
      </c>
      <c r="H100" s="8"/>
      <c r="I100" s="3">
        <f t="shared" si="1"/>
        <v>0</v>
      </c>
      <c r="J100" s="9">
        <v>17</v>
      </c>
    </row>
    <row r="101" spans="1:10" x14ac:dyDescent="0.25">
      <c r="A101" t="s">
        <v>201</v>
      </c>
      <c r="B101" t="s">
        <v>202</v>
      </c>
      <c r="C101" s="8">
        <v>20</v>
      </c>
      <c r="D101" s="8">
        <v>14</v>
      </c>
      <c r="E101" s="8">
        <v>5</v>
      </c>
      <c r="F101" s="8"/>
      <c r="G101" s="8">
        <v>1</v>
      </c>
      <c r="H101" s="8"/>
      <c r="I101" s="3">
        <f t="shared" si="1"/>
        <v>0</v>
      </c>
      <c r="J101" s="9">
        <v>17</v>
      </c>
    </row>
    <row r="102" spans="1:10" x14ac:dyDescent="0.25">
      <c r="A102" t="s">
        <v>203</v>
      </c>
      <c r="B102" t="s">
        <v>204</v>
      </c>
      <c r="C102" s="8">
        <v>10</v>
      </c>
      <c r="D102" s="8">
        <v>6</v>
      </c>
      <c r="E102" s="8">
        <v>3</v>
      </c>
      <c r="F102" s="8"/>
      <c r="G102" s="8">
        <v>1</v>
      </c>
      <c r="H102" s="8"/>
      <c r="I102" s="3">
        <f t="shared" si="1"/>
        <v>0</v>
      </c>
      <c r="J102" s="9">
        <v>35</v>
      </c>
    </row>
    <row r="103" spans="1:10" x14ac:dyDescent="0.25">
      <c r="A103" t="s">
        <v>205</v>
      </c>
      <c r="B103" t="s">
        <v>206</v>
      </c>
      <c r="C103" s="8">
        <v>2</v>
      </c>
      <c r="D103" s="8">
        <v>2</v>
      </c>
      <c r="E103" s="8"/>
      <c r="F103" s="8"/>
      <c r="G103" s="8"/>
      <c r="H103" s="8"/>
      <c r="I103" s="3">
        <f t="shared" si="1"/>
        <v>0</v>
      </c>
      <c r="J103" s="9">
        <v>93</v>
      </c>
    </row>
    <row r="104" spans="1:10" x14ac:dyDescent="0.25">
      <c r="A104" t="s">
        <v>207</v>
      </c>
      <c r="B104" t="s">
        <v>208</v>
      </c>
      <c r="C104" s="8">
        <v>20</v>
      </c>
      <c r="D104" s="8">
        <v>7</v>
      </c>
      <c r="E104" s="8">
        <v>5</v>
      </c>
      <c r="F104" s="8">
        <v>5</v>
      </c>
      <c r="G104" s="8">
        <v>3</v>
      </c>
      <c r="H104" s="8"/>
      <c r="I104" s="3">
        <f t="shared" si="1"/>
        <v>0</v>
      </c>
      <c r="J104" s="9">
        <v>23</v>
      </c>
    </row>
    <row r="105" spans="1:10" x14ac:dyDescent="0.25">
      <c r="A105" t="s">
        <v>209</v>
      </c>
      <c r="B105" t="s">
        <v>210</v>
      </c>
      <c r="C105" s="8">
        <v>50</v>
      </c>
      <c r="D105" s="8">
        <v>39</v>
      </c>
      <c r="E105" s="8">
        <v>10</v>
      </c>
      <c r="F105" s="8"/>
      <c r="G105" s="8">
        <v>1</v>
      </c>
      <c r="H105" s="8"/>
      <c r="I105" s="3">
        <f t="shared" si="1"/>
        <v>0</v>
      </c>
      <c r="J105" s="9">
        <v>52</v>
      </c>
    </row>
    <row r="106" spans="1:10" x14ac:dyDescent="0.25">
      <c r="A106" t="s">
        <v>211</v>
      </c>
      <c r="B106" t="s">
        <v>212</v>
      </c>
      <c r="C106" s="8">
        <v>10</v>
      </c>
      <c r="D106" s="8">
        <v>7</v>
      </c>
      <c r="E106" s="8">
        <v>3</v>
      </c>
      <c r="F106" s="8"/>
      <c r="G106" s="8"/>
      <c r="H106" s="8"/>
      <c r="I106" s="3">
        <f t="shared" si="1"/>
        <v>0</v>
      </c>
      <c r="J106" s="9">
        <v>50</v>
      </c>
    </row>
    <row r="107" spans="1:10" x14ac:dyDescent="0.25">
      <c r="A107" t="s">
        <v>213</v>
      </c>
      <c r="B107" t="s">
        <v>214</v>
      </c>
      <c r="C107" s="8">
        <v>60</v>
      </c>
      <c r="D107" s="8">
        <v>50</v>
      </c>
      <c r="E107" s="8">
        <v>10</v>
      </c>
      <c r="F107" s="8"/>
      <c r="G107" s="8"/>
      <c r="H107" s="8"/>
      <c r="I107" s="3">
        <f t="shared" si="1"/>
        <v>0</v>
      </c>
      <c r="J107" s="9">
        <v>64</v>
      </c>
    </row>
    <row r="108" spans="1:10" x14ac:dyDescent="0.25">
      <c r="A108" t="s">
        <v>215</v>
      </c>
      <c r="B108" t="s">
        <v>216</v>
      </c>
      <c r="C108" s="8">
        <v>50</v>
      </c>
      <c r="D108" s="8">
        <v>26</v>
      </c>
      <c r="E108" s="8">
        <v>10</v>
      </c>
      <c r="F108" s="8">
        <v>10</v>
      </c>
      <c r="G108" s="8">
        <v>4</v>
      </c>
      <c r="H108" s="8"/>
      <c r="I108" s="3">
        <f t="shared" si="1"/>
        <v>0</v>
      </c>
      <c r="J108" s="9">
        <v>18</v>
      </c>
    </row>
    <row r="109" spans="1:10" x14ac:dyDescent="0.25">
      <c r="A109" t="s">
        <v>217</v>
      </c>
      <c r="B109" t="s">
        <v>218</v>
      </c>
      <c r="C109" s="8">
        <v>10</v>
      </c>
      <c r="D109" s="8">
        <v>3</v>
      </c>
      <c r="E109" s="8">
        <v>3</v>
      </c>
      <c r="F109" s="8">
        <v>4</v>
      </c>
      <c r="G109" s="8"/>
      <c r="H109" s="8"/>
      <c r="I109" s="3">
        <f t="shared" si="1"/>
        <v>0</v>
      </c>
      <c r="J109" s="9">
        <v>15</v>
      </c>
    </row>
    <row r="110" spans="1:10" x14ac:dyDescent="0.25">
      <c r="A110" t="s">
        <v>219</v>
      </c>
      <c r="B110" t="s">
        <v>220</v>
      </c>
      <c r="C110" s="8">
        <v>10</v>
      </c>
      <c r="D110" s="8">
        <v>5</v>
      </c>
      <c r="E110" s="8">
        <v>3</v>
      </c>
      <c r="F110" s="8">
        <v>2</v>
      </c>
      <c r="G110" s="8"/>
      <c r="H110" s="8"/>
      <c r="I110" s="3">
        <f t="shared" si="1"/>
        <v>0</v>
      </c>
      <c r="J110" s="9">
        <v>39</v>
      </c>
    </row>
    <row r="111" spans="1:10" x14ac:dyDescent="0.25">
      <c r="A111" t="s">
        <v>221</v>
      </c>
      <c r="B111" t="s">
        <v>222</v>
      </c>
      <c r="C111" s="8">
        <v>10</v>
      </c>
      <c r="D111" s="8">
        <v>5</v>
      </c>
      <c r="E111" s="8">
        <v>3</v>
      </c>
      <c r="F111" s="8"/>
      <c r="G111" s="8">
        <v>2</v>
      </c>
      <c r="H111" s="8"/>
      <c r="I111" s="3">
        <f t="shared" si="1"/>
        <v>0</v>
      </c>
      <c r="J111" s="9">
        <v>20</v>
      </c>
    </row>
    <row r="112" spans="1:10" x14ac:dyDescent="0.25">
      <c r="A112" t="s">
        <v>223</v>
      </c>
      <c r="B112" t="s">
        <v>224</v>
      </c>
      <c r="C112" s="8">
        <v>10</v>
      </c>
      <c r="D112" s="8">
        <v>6</v>
      </c>
      <c r="E112" s="8">
        <v>3</v>
      </c>
      <c r="F112" s="8"/>
      <c r="G112" s="8">
        <v>1</v>
      </c>
      <c r="H112" s="8"/>
      <c r="I112" s="3">
        <f t="shared" si="1"/>
        <v>0</v>
      </c>
      <c r="J112" s="9">
        <v>12</v>
      </c>
    </row>
    <row r="113" spans="1:10" x14ac:dyDescent="0.25">
      <c r="A113" t="s">
        <v>225</v>
      </c>
      <c r="B113" t="s">
        <v>226</v>
      </c>
      <c r="C113" s="8">
        <v>10</v>
      </c>
      <c r="D113" s="8">
        <v>6</v>
      </c>
      <c r="E113" s="8">
        <v>3</v>
      </c>
      <c r="F113" s="8"/>
      <c r="G113" s="8">
        <v>1</v>
      </c>
      <c r="H113" s="8"/>
      <c r="I113" s="3">
        <f t="shared" si="1"/>
        <v>0</v>
      </c>
      <c r="J113" s="9">
        <v>12</v>
      </c>
    </row>
    <row r="114" spans="1:10" x14ac:dyDescent="0.25">
      <c r="A114" t="s">
        <v>227</v>
      </c>
      <c r="B114" t="s">
        <v>228</v>
      </c>
      <c r="C114" s="8">
        <v>20</v>
      </c>
      <c r="D114" s="8">
        <v>9</v>
      </c>
      <c r="E114" s="8">
        <v>5</v>
      </c>
      <c r="F114" s="8">
        <v>5</v>
      </c>
      <c r="G114" s="8">
        <v>1</v>
      </c>
      <c r="H114" s="8"/>
      <c r="I114" s="3">
        <f t="shared" si="1"/>
        <v>0</v>
      </c>
      <c r="J114" s="9">
        <v>55</v>
      </c>
    </row>
    <row r="115" spans="1:10" x14ac:dyDescent="0.25">
      <c r="A115" t="s">
        <v>229</v>
      </c>
      <c r="B115" t="s">
        <v>230</v>
      </c>
      <c r="C115" s="8">
        <v>10</v>
      </c>
      <c r="D115" s="8">
        <v>4</v>
      </c>
      <c r="E115" s="8">
        <v>3</v>
      </c>
      <c r="F115" s="8">
        <v>2</v>
      </c>
      <c r="G115" s="8">
        <v>1</v>
      </c>
      <c r="H115" s="8"/>
      <c r="I115" s="3">
        <f t="shared" si="1"/>
        <v>0</v>
      </c>
      <c r="J115" s="9">
        <v>23</v>
      </c>
    </row>
    <row r="116" spans="1:10" x14ac:dyDescent="0.25">
      <c r="A116" t="s">
        <v>231</v>
      </c>
      <c r="B116" t="s">
        <v>232</v>
      </c>
      <c r="C116" s="8">
        <v>20</v>
      </c>
      <c r="D116" s="8">
        <v>11</v>
      </c>
      <c r="E116" s="8">
        <v>5</v>
      </c>
      <c r="F116" s="8">
        <v>3</v>
      </c>
      <c r="G116" s="8">
        <v>1</v>
      </c>
      <c r="H116" s="8"/>
      <c r="I116" s="3">
        <f t="shared" si="1"/>
        <v>0</v>
      </c>
      <c r="J116" s="9">
        <v>23</v>
      </c>
    </row>
    <row r="117" spans="1:10" x14ac:dyDescent="0.25">
      <c r="A117" t="s">
        <v>233</v>
      </c>
      <c r="B117" t="s">
        <v>234</v>
      </c>
      <c r="C117" s="8">
        <v>8</v>
      </c>
      <c r="D117" s="8">
        <v>5</v>
      </c>
      <c r="E117" s="8">
        <v>2</v>
      </c>
      <c r="F117" s="8"/>
      <c r="G117" s="8">
        <v>1</v>
      </c>
      <c r="H117" s="8"/>
      <c r="I117" s="3">
        <f t="shared" si="1"/>
        <v>0</v>
      </c>
      <c r="J117" s="9">
        <v>21</v>
      </c>
    </row>
    <row r="118" spans="1:10" x14ac:dyDescent="0.25">
      <c r="A118" t="s">
        <v>235</v>
      </c>
      <c r="B118" t="s">
        <v>236</v>
      </c>
      <c r="C118" s="8">
        <v>21</v>
      </c>
      <c r="D118" s="8">
        <v>15</v>
      </c>
      <c r="E118" s="8">
        <v>5</v>
      </c>
      <c r="F118" s="8"/>
      <c r="G118" s="8">
        <v>1</v>
      </c>
      <c r="H118" s="8"/>
      <c r="I118" s="3">
        <f t="shared" si="1"/>
        <v>0</v>
      </c>
      <c r="J118" s="9">
        <v>24</v>
      </c>
    </row>
    <row r="119" spans="1:10" x14ac:dyDescent="0.25">
      <c r="A119" t="s">
        <v>237</v>
      </c>
      <c r="B119" t="s">
        <v>238</v>
      </c>
      <c r="C119" s="8">
        <v>20</v>
      </c>
      <c r="D119" s="8">
        <v>14</v>
      </c>
      <c r="E119" s="8">
        <v>5</v>
      </c>
      <c r="F119" s="8"/>
      <c r="G119" s="8">
        <v>1</v>
      </c>
      <c r="H119" s="8"/>
      <c r="I119" s="3">
        <f t="shared" si="1"/>
        <v>0</v>
      </c>
      <c r="J119" s="9">
        <v>43</v>
      </c>
    </row>
    <row r="120" spans="1:10" x14ac:dyDescent="0.25">
      <c r="A120" t="s">
        <v>239</v>
      </c>
      <c r="B120" t="s">
        <v>240</v>
      </c>
      <c r="C120" s="8">
        <v>10</v>
      </c>
      <c r="D120" s="8">
        <v>6</v>
      </c>
      <c r="E120" s="8">
        <v>3</v>
      </c>
      <c r="F120" s="8"/>
      <c r="G120" s="8">
        <v>1</v>
      </c>
      <c r="H120" s="8"/>
      <c r="I120" s="3">
        <f t="shared" si="1"/>
        <v>0</v>
      </c>
      <c r="J120" s="9">
        <v>16</v>
      </c>
    </row>
    <row r="121" spans="1:10" x14ac:dyDescent="0.25">
      <c r="A121" t="s">
        <v>241</v>
      </c>
      <c r="B121" t="s">
        <v>242</v>
      </c>
      <c r="C121" s="8">
        <v>10</v>
      </c>
      <c r="D121" s="8">
        <v>6</v>
      </c>
      <c r="E121" s="8">
        <v>3</v>
      </c>
      <c r="F121" s="8"/>
      <c r="G121" s="8">
        <v>1</v>
      </c>
      <c r="H121" s="8"/>
      <c r="I121" s="3">
        <f t="shared" si="1"/>
        <v>0</v>
      </c>
      <c r="J121" s="9">
        <v>26</v>
      </c>
    </row>
    <row r="122" spans="1:10" x14ac:dyDescent="0.25">
      <c r="A122" t="s">
        <v>243</v>
      </c>
      <c r="B122" t="s">
        <v>244</v>
      </c>
      <c r="C122" s="8">
        <v>10</v>
      </c>
      <c r="D122" s="8">
        <v>3</v>
      </c>
      <c r="E122" s="8">
        <v>3</v>
      </c>
      <c r="F122" s="8">
        <v>3</v>
      </c>
      <c r="G122" s="8">
        <v>1</v>
      </c>
      <c r="H122" s="8"/>
      <c r="I122" s="3">
        <f t="shared" si="1"/>
        <v>0</v>
      </c>
      <c r="J122" s="9">
        <v>36</v>
      </c>
    </row>
    <row r="123" spans="1:10" x14ac:dyDescent="0.25">
      <c r="A123" t="s">
        <v>245</v>
      </c>
      <c r="B123" t="s">
        <v>246</v>
      </c>
      <c r="C123" s="8">
        <v>21</v>
      </c>
      <c r="D123" s="8">
        <v>16</v>
      </c>
      <c r="E123" s="8">
        <v>5</v>
      </c>
      <c r="F123" s="8"/>
      <c r="G123" s="8"/>
      <c r="H123" s="8"/>
      <c r="I123" s="3">
        <f t="shared" si="1"/>
        <v>0</v>
      </c>
      <c r="J123" s="9">
        <v>25</v>
      </c>
    </row>
    <row r="124" spans="1:10" x14ac:dyDescent="0.25">
      <c r="A124" t="s">
        <v>247</v>
      </c>
      <c r="B124" t="s">
        <v>248</v>
      </c>
      <c r="C124" s="8">
        <v>13</v>
      </c>
      <c r="D124" s="8">
        <v>10</v>
      </c>
      <c r="E124" s="8">
        <v>3</v>
      </c>
      <c r="F124" s="8"/>
      <c r="G124" s="8"/>
      <c r="H124" s="8"/>
      <c r="I124" s="3">
        <f t="shared" si="1"/>
        <v>0</v>
      </c>
      <c r="J124" s="9">
        <v>25</v>
      </c>
    </row>
    <row r="125" spans="1:10" x14ac:dyDescent="0.25">
      <c r="A125" t="s">
        <v>249</v>
      </c>
      <c r="B125" t="s">
        <v>250</v>
      </c>
      <c r="C125" s="8">
        <v>10</v>
      </c>
      <c r="D125" s="8">
        <v>3</v>
      </c>
      <c r="E125" s="8">
        <v>3</v>
      </c>
      <c r="F125" s="8">
        <v>3</v>
      </c>
      <c r="G125" s="8">
        <v>1</v>
      </c>
      <c r="H125" s="8"/>
      <c r="I125" s="3">
        <f t="shared" si="1"/>
        <v>0</v>
      </c>
      <c r="J125" s="9">
        <v>30</v>
      </c>
    </row>
    <row r="126" spans="1:10" x14ac:dyDescent="0.25">
      <c r="A126" t="s">
        <v>251</v>
      </c>
      <c r="B126" t="s">
        <v>252</v>
      </c>
      <c r="C126" s="8">
        <v>10</v>
      </c>
      <c r="D126" s="8">
        <v>3</v>
      </c>
      <c r="E126" s="8">
        <v>3</v>
      </c>
      <c r="F126" s="8">
        <v>3</v>
      </c>
      <c r="G126" s="8">
        <v>1</v>
      </c>
      <c r="H126" s="8"/>
      <c r="I126" s="3">
        <f t="shared" si="1"/>
        <v>0</v>
      </c>
      <c r="J126" s="9">
        <v>38</v>
      </c>
    </row>
    <row r="127" spans="1:10" x14ac:dyDescent="0.25">
      <c r="A127" t="s">
        <v>253</v>
      </c>
      <c r="B127" t="s">
        <v>254</v>
      </c>
      <c r="C127" s="8">
        <v>50</v>
      </c>
      <c r="D127" s="8">
        <v>36</v>
      </c>
      <c r="E127" s="8">
        <v>10</v>
      </c>
      <c r="F127" s="8">
        <v>3</v>
      </c>
      <c r="G127" s="8">
        <v>1</v>
      </c>
      <c r="H127" s="8"/>
      <c r="I127" s="3">
        <f t="shared" si="1"/>
        <v>0</v>
      </c>
      <c r="J127" s="9">
        <v>11</v>
      </c>
    </row>
    <row r="128" spans="1:10" x14ac:dyDescent="0.25">
      <c r="A128" t="s">
        <v>255</v>
      </c>
      <c r="B128" t="s">
        <v>256</v>
      </c>
      <c r="C128" s="8">
        <v>99</v>
      </c>
      <c r="D128" s="8">
        <v>88</v>
      </c>
      <c r="E128" s="8">
        <v>10</v>
      </c>
      <c r="F128" s="8"/>
      <c r="G128" s="8">
        <v>1</v>
      </c>
      <c r="H128" s="8"/>
      <c r="I128" s="3">
        <f t="shared" si="1"/>
        <v>0</v>
      </c>
      <c r="J128" s="9">
        <v>7</v>
      </c>
    </row>
    <row r="129" spans="1:10" x14ac:dyDescent="0.25">
      <c r="A129" t="s">
        <v>257</v>
      </c>
      <c r="B129" t="s">
        <v>258</v>
      </c>
      <c r="C129" s="8">
        <v>100</v>
      </c>
      <c r="D129" s="8">
        <v>72</v>
      </c>
      <c r="E129" s="8">
        <v>20</v>
      </c>
      <c r="F129" s="8">
        <v>5</v>
      </c>
      <c r="G129" s="8">
        <v>3</v>
      </c>
      <c r="H129" s="8"/>
      <c r="I129" s="3">
        <f t="shared" si="1"/>
        <v>0</v>
      </c>
      <c r="J129" s="9">
        <v>6</v>
      </c>
    </row>
    <row r="130" spans="1:10" x14ac:dyDescent="0.25">
      <c r="A130" t="s">
        <v>259</v>
      </c>
      <c r="B130" t="s">
        <v>260</v>
      </c>
      <c r="C130" s="8">
        <v>50</v>
      </c>
      <c r="D130" s="8">
        <v>33</v>
      </c>
      <c r="E130" s="8">
        <v>10</v>
      </c>
      <c r="F130" s="8">
        <v>5</v>
      </c>
      <c r="G130" s="8">
        <v>2</v>
      </c>
      <c r="H130" s="8"/>
      <c r="I130" s="3">
        <f t="shared" si="1"/>
        <v>0</v>
      </c>
      <c r="J130" s="9">
        <v>5</v>
      </c>
    </row>
    <row r="131" spans="1:10" x14ac:dyDescent="0.25">
      <c r="A131" t="s">
        <v>261</v>
      </c>
      <c r="B131" t="s">
        <v>262</v>
      </c>
      <c r="C131" s="8">
        <v>35</v>
      </c>
      <c r="D131" s="8">
        <v>18</v>
      </c>
      <c r="E131" s="8">
        <v>10</v>
      </c>
      <c r="F131" s="8">
        <v>5</v>
      </c>
      <c r="G131" s="8">
        <v>2</v>
      </c>
      <c r="H131" s="8"/>
      <c r="I131" s="3">
        <f t="shared" ref="I131:I140" si="2">+C131-D131-E131-F131-G131-H131</f>
        <v>0</v>
      </c>
      <c r="J131" s="9">
        <v>7</v>
      </c>
    </row>
    <row r="132" spans="1:10" x14ac:dyDescent="0.25">
      <c r="A132" t="s">
        <v>263</v>
      </c>
      <c r="B132" t="s">
        <v>264</v>
      </c>
      <c r="C132" s="8">
        <v>25</v>
      </c>
      <c r="D132" s="8">
        <v>12</v>
      </c>
      <c r="E132" s="8">
        <v>8</v>
      </c>
      <c r="F132" s="8">
        <v>5</v>
      </c>
      <c r="G132" s="8"/>
      <c r="H132" s="8"/>
      <c r="I132" s="3">
        <f t="shared" si="2"/>
        <v>0</v>
      </c>
      <c r="J132" s="9">
        <v>5</v>
      </c>
    </row>
    <row r="133" spans="1:10" x14ac:dyDescent="0.25">
      <c r="A133" t="s">
        <v>265</v>
      </c>
      <c r="B133" t="s">
        <v>266</v>
      </c>
      <c r="C133" s="8">
        <v>100</v>
      </c>
      <c r="D133" s="8">
        <v>63</v>
      </c>
      <c r="E133" s="8">
        <v>30</v>
      </c>
      <c r="F133" s="8">
        <v>5</v>
      </c>
      <c r="G133" s="8">
        <v>2</v>
      </c>
      <c r="H133" s="8"/>
      <c r="I133" s="3">
        <f t="shared" si="2"/>
        <v>0</v>
      </c>
      <c r="J133" s="9">
        <v>3</v>
      </c>
    </row>
    <row r="134" spans="1:10" x14ac:dyDescent="0.25">
      <c r="A134" t="s">
        <v>267</v>
      </c>
      <c r="B134" t="s">
        <v>268</v>
      </c>
      <c r="C134" s="8">
        <v>100</v>
      </c>
      <c r="D134" s="8">
        <v>63</v>
      </c>
      <c r="E134" s="8">
        <v>30</v>
      </c>
      <c r="F134" s="8">
        <v>5</v>
      </c>
      <c r="G134" s="8">
        <v>2</v>
      </c>
      <c r="H134" s="8"/>
      <c r="I134" s="3">
        <f t="shared" si="2"/>
        <v>0</v>
      </c>
      <c r="J134" s="9">
        <v>3</v>
      </c>
    </row>
    <row r="135" spans="1:10" x14ac:dyDescent="0.25">
      <c r="A135" t="s">
        <v>269</v>
      </c>
      <c r="B135" t="s">
        <v>270</v>
      </c>
      <c r="C135" s="8">
        <v>100</v>
      </c>
      <c r="D135" s="8">
        <v>63</v>
      </c>
      <c r="E135" s="8">
        <v>30</v>
      </c>
      <c r="F135" s="8">
        <v>5</v>
      </c>
      <c r="G135" s="8">
        <v>2</v>
      </c>
      <c r="H135" s="8"/>
      <c r="I135" s="3">
        <f t="shared" si="2"/>
        <v>0</v>
      </c>
      <c r="J135" s="9">
        <v>3</v>
      </c>
    </row>
    <row r="136" spans="1:10" x14ac:dyDescent="0.25">
      <c r="A136" t="s">
        <v>271</v>
      </c>
      <c r="B136" t="s">
        <v>272</v>
      </c>
      <c r="C136" s="8">
        <v>50</v>
      </c>
      <c r="D136" s="8">
        <v>38</v>
      </c>
      <c r="E136" s="8">
        <v>10</v>
      </c>
      <c r="F136" s="8"/>
      <c r="G136" s="8">
        <v>2</v>
      </c>
      <c r="H136" s="8"/>
      <c r="I136" s="3">
        <f t="shared" si="2"/>
        <v>0</v>
      </c>
      <c r="J136" s="9">
        <v>10</v>
      </c>
    </row>
    <row r="137" spans="1:10" x14ac:dyDescent="0.25">
      <c r="A137" t="s">
        <v>273</v>
      </c>
      <c r="B137" t="s">
        <v>274</v>
      </c>
      <c r="C137" s="8">
        <v>50</v>
      </c>
      <c r="D137" s="8">
        <v>30</v>
      </c>
      <c r="E137" s="8">
        <v>10</v>
      </c>
      <c r="F137" s="8">
        <v>5</v>
      </c>
      <c r="G137" s="8">
        <v>5</v>
      </c>
      <c r="H137" s="8"/>
      <c r="I137" s="3">
        <f t="shared" si="2"/>
        <v>0</v>
      </c>
      <c r="J137" s="9">
        <v>7</v>
      </c>
    </row>
    <row r="138" spans="1:10" x14ac:dyDescent="0.25">
      <c r="A138" t="s">
        <v>275</v>
      </c>
      <c r="B138" t="s">
        <v>276</v>
      </c>
      <c r="C138" s="8">
        <v>5</v>
      </c>
      <c r="D138" s="8">
        <v>3</v>
      </c>
      <c r="E138" s="8">
        <v>2</v>
      </c>
      <c r="F138" s="8"/>
      <c r="G138" s="8"/>
      <c r="H138" s="8"/>
      <c r="I138" s="3">
        <f t="shared" si="2"/>
        <v>0</v>
      </c>
      <c r="J138" s="9">
        <v>44</v>
      </c>
    </row>
    <row r="139" spans="1:10" x14ac:dyDescent="0.25">
      <c r="A139" t="s">
        <v>277</v>
      </c>
      <c r="B139" t="s">
        <v>278</v>
      </c>
      <c r="C139" s="8">
        <v>5</v>
      </c>
      <c r="D139" s="8">
        <v>3</v>
      </c>
      <c r="E139" s="8">
        <v>2</v>
      </c>
      <c r="F139" s="8"/>
      <c r="G139" s="8"/>
      <c r="H139" s="8"/>
      <c r="I139" s="3">
        <f t="shared" si="2"/>
        <v>0</v>
      </c>
      <c r="J139" s="9">
        <v>41</v>
      </c>
    </row>
    <row r="140" spans="1:10" x14ac:dyDescent="0.25">
      <c r="A140" t="s">
        <v>279</v>
      </c>
      <c r="B140" t="s">
        <v>280</v>
      </c>
      <c r="C140" s="8">
        <v>100</v>
      </c>
      <c r="D140" s="8">
        <v>88</v>
      </c>
      <c r="E140" s="8">
        <v>10</v>
      </c>
      <c r="F140" s="8"/>
      <c r="G140" s="8">
        <v>2</v>
      </c>
      <c r="H140" s="8"/>
      <c r="I140" s="3">
        <f t="shared" si="2"/>
        <v>0</v>
      </c>
      <c r="J140" s="9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1E1D1-B25D-4656-A264-BEC9D3A5E981}">
  <dimension ref="A1:D7"/>
  <sheetViews>
    <sheetView workbookViewId="0">
      <selection activeCell="D35" sqref="D35"/>
    </sheetView>
  </sheetViews>
  <sheetFormatPr baseColWidth="10" defaultRowHeight="15" x14ac:dyDescent="0.25"/>
  <cols>
    <col min="1" max="1" width="13.42578125" bestFit="1" customWidth="1"/>
    <col min="2" max="2" width="44.42578125" bestFit="1" customWidth="1"/>
    <col min="3" max="3" width="6.28515625" bestFit="1" customWidth="1"/>
    <col min="4" max="4" width="6.42578125" bestFit="1" customWidth="1"/>
  </cols>
  <sheetData>
    <row r="1" spans="1:4" x14ac:dyDescent="0.25">
      <c r="C1" t="s">
        <v>288</v>
      </c>
      <c r="D1" t="s">
        <v>289</v>
      </c>
    </row>
    <row r="3" spans="1:4" x14ac:dyDescent="0.25">
      <c r="A3" s="11" t="s">
        <v>169</v>
      </c>
      <c r="B3" s="11" t="s">
        <v>170</v>
      </c>
      <c r="C3" s="12">
        <v>50</v>
      </c>
      <c r="D3">
        <v>42</v>
      </c>
    </row>
    <row r="5" spans="1:4" x14ac:dyDescent="0.25">
      <c r="A5" t="s">
        <v>189</v>
      </c>
      <c r="B5" t="s">
        <v>190</v>
      </c>
      <c r="C5">
        <v>38</v>
      </c>
      <c r="D5">
        <v>36</v>
      </c>
    </row>
    <row r="6" spans="1:4" x14ac:dyDescent="0.25">
      <c r="B6" t="s">
        <v>290</v>
      </c>
      <c r="D6">
        <v>2</v>
      </c>
    </row>
    <row r="7" spans="1:4" x14ac:dyDescent="0.25">
      <c r="A7" t="s">
        <v>279</v>
      </c>
      <c r="B7" t="s">
        <v>280</v>
      </c>
      <c r="C7" s="8">
        <v>100</v>
      </c>
      <c r="D7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IMPORTACION</vt:lpstr>
      <vt:lpstr>ABC</vt:lpstr>
      <vt:lpstr>PGP</vt:lpstr>
      <vt:lpstr>JAPAN</vt:lpstr>
      <vt:lpstr>CENTRAL</vt:lpstr>
      <vt:lpstr>Hoja6</vt:lpstr>
      <vt:lpstr>CARLOS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User</cp:lastModifiedBy>
  <dcterms:created xsi:type="dcterms:W3CDTF">2019-03-13T17:37:04Z</dcterms:created>
  <dcterms:modified xsi:type="dcterms:W3CDTF">2024-06-04T18:36:04Z</dcterms:modified>
</cp:coreProperties>
</file>