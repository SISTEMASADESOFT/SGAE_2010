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AFE7BC-94EB-45B2-859C-362F7544CE8E}" xr6:coauthVersionLast="47" xr6:coauthVersionMax="47" xr10:uidLastSave="{00000000-0000-0000-0000-000000000000}"/>
  <bookViews>
    <workbookView xWindow="20370" yWindow="-2190" windowWidth="21840" windowHeight="13140" activeTab="7" xr2:uid="{00000000-000D-0000-FFFF-FFFF00000000}"/>
  </bookViews>
  <sheets>
    <sheet name="MASTER" sheetId="2" r:id="rId1"/>
    <sheet name="JAPAN" sheetId="7" r:id="rId2"/>
    <sheet name="ARA-1" sheetId="11" r:id="rId3"/>
    <sheet name="ARA-2" sheetId="3" r:id="rId4"/>
    <sheet name="ABC-1" sheetId="8" r:id="rId5"/>
    <sheet name="ABC-2" sheetId="4" r:id="rId6"/>
    <sheet name="CENTRAL" sheetId="6" r:id="rId7"/>
    <sheet name="IMPORTACION" sheetId="5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J3" i="2" l="1"/>
  <c r="J4" i="2"/>
  <c r="J5" i="2"/>
  <c r="J6" i="2"/>
  <c r="J7" i="2"/>
  <c r="J8" i="2"/>
  <c r="J9" i="2"/>
  <c r="J10" i="2"/>
  <c r="J11" i="2"/>
  <c r="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Condori</author>
  </authors>
  <commentList>
    <comment ref="D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ELVIS PDIDIO DE LUIRIN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Condori</author>
  </authors>
  <commentList>
    <comment ref="B8" authorId="0" shapeId="0" xr:uid="{E157CEA6-043D-4D5D-A687-E0BEC432D643}">
      <text>
        <r>
          <rPr>
            <b/>
            <sz val="9"/>
            <color indexed="81"/>
            <rFont val="Tahoma"/>
            <family val="2"/>
          </rPr>
          <t xml:space="preserve">ELVIS PDIDIO DE LUIRIN
</t>
        </r>
      </text>
    </comment>
  </commentList>
</comments>
</file>

<file path=xl/sharedStrings.xml><?xml version="1.0" encoding="utf-8"?>
<sst xmlns="http://schemas.openxmlformats.org/spreadsheetml/2006/main" count="114" uniqueCount="32">
  <si>
    <t>CODIGO</t>
  </si>
  <si>
    <t>DESCRIPCION</t>
  </si>
  <si>
    <t>CANTIDAD</t>
  </si>
  <si>
    <t>41301-2060A 300-873</t>
  </si>
  <si>
    <t>CASTILLO SOLO HINO 500 1726 J08CT SAMGONG</t>
  </si>
  <si>
    <t>1-41521037-2 300-232</t>
  </si>
  <si>
    <t>CRUCETA DE CORONA ISUZU 1300 35MM SAMGONG</t>
  </si>
  <si>
    <t>MDFUFK2 105-083</t>
  </si>
  <si>
    <t>PINON DE 4TH 29T FUSO 6D16 SAMGONG</t>
  </si>
  <si>
    <t>MDFUFK1 105-080</t>
  </si>
  <si>
    <t>PINON DE 3RD 37T FUSO 6D16 SAMGONG</t>
  </si>
  <si>
    <t>104-279</t>
  </si>
  <si>
    <t>EJE DESLIZANTE 4M50 M036 6TA SAMGONG</t>
  </si>
  <si>
    <t>41301-2250 300-834</t>
  </si>
  <si>
    <t>CASTILLO COMPLETO HINO 500 1017 J05 27T SAMGONG</t>
  </si>
  <si>
    <t>43410-T00050 101-181</t>
  </si>
  <si>
    <t>TRENFIJO COUNTY HD78 4D34T 44T SAMGONG</t>
  </si>
  <si>
    <t>333421-37100 103-765</t>
  </si>
  <si>
    <t>TRENFIJO TOY COASTER 1HZ 45T SAMGONG</t>
  </si>
  <si>
    <t>41301-1820 300-855</t>
  </si>
  <si>
    <t>CASTILLO COMPLETO HINO J08C SAMGONG</t>
  </si>
  <si>
    <t>300-917</t>
  </si>
  <si>
    <t>CASTILLO COMPLETO HICE 5L 30T SAMGONG</t>
  </si>
  <si>
    <t>300-915</t>
  </si>
  <si>
    <t>CASTILLO COMPLETO HICE 3L 30T SAMGONG</t>
  </si>
  <si>
    <t>ALVARADO</t>
  </si>
  <si>
    <t>ABC</t>
  </si>
  <si>
    <t xml:space="preserve">PGP </t>
  </si>
  <si>
    <t xml:space="preserve">CENTRAL </t>
  </si>
  <si>
    <t xml:space="preserve">JAPAN </t>
  </si>
  <si>
    <t>ABC 2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</si>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</sst>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0.00_);[Red]\(0.0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name val="Tahoma"/>
      <family val="2"/>
    </font>
    <font>
      <sz val="11"/>
      <name val="돋움"/>
      <family val="3"/>
    </font>
    <font>
      <sz val="10"/>
      <name val="돋움"/>
      <family val="3"/>
    </font>
    <font>
      <b/>
      <sz val="9"/>
      <color theme="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1" fontId="4" fillId="0" borderId="0"/>
    <xf numFmtId="41" fontId="2" fillId="0" borderId="0">
      <alignment vertical="center"/>
    </xf>
    <xf numFmtId="0" fontId="2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2" xfId="3" applyFont="1" applyFill="1" applyBorder="1" applyAlignment="1">
      <alignment horizontal="center" vertical="center" shrinkToFit="1"/>
    </xf>
    <xf numFmtId="0" fontId="6" fillId="2" borderId="1" xfId="3" applyFont="1" applyFill="1" applyBorder="1" applyAlignment="1">
      <alignment horizontal="center" vertical="center" shrinkToFit="1"/>
    </xf>
    <xf numFmtId="0" fontId="3" fillId="2" borderId="3" xfId="5" applyFont="1" applyFill="1" applyBorder="1" applyAlignment="1">
      <alignment horizontal="center" vertical="center" shrinkToFit="1"/>
    </xf>
    <xf numFmtId="0" fontId="0" fillId="0" borderId="4" xfId="0" applyBorder="1"/>
    <xf numFmtId="0" fontId="6" fillId="2" borderId="5" xfId="3" applyFont="1" applyFill="1" applyBorder="1" applyAlignment="1">
      <alignment horizontal="center" vertical="center" shrinkToFit="1"/>
    </xf>
    <xf numFmtId="164" fontId="6" fillId="2" borderId="6" xfId="2" applyNumberFormat="1" applyFont="1" applyFill="1" applyBorder="1" applyAlignment="1">
      <alignment horizontal="center" vertical="center" shrinkToFit="1"/>
    </xf>
    <xf numFmtId="0" fontId="0" fillId="0" borderId="7" xfId="0" applyBorder="1"/>
    <xf numFmtId="0" fontId="0" fillId="0" borderId="8" xfId="0" applyBorder="1"/>
    <xf numFmtId="0" fontId="6" fillId="2" borderId="3" xfId="3" applyFont="1" applyFill="1" applyBorder="1" applyAlignment="1">
      <alignment horizontal="center" vertical="center" shrinkToFit="1"/>
    </xf>
    <xf numFmtId="0" fontId="6" fillId="2" borderId="6" xfId="3" applyFont="1" applyFill="1" applyBorder="1" applyAlignment="1">
      <alignment horizontal="center" vertical="center" shrinkToFit="1"/>
    </xf>
    <xf numFmtId="0" fontId="0" fillId="3" borderId="0" xfId="0" applyFill="1"/>
    <xf numFmtId="0" fontId="0" fillId="0" borderId="0" xfId="6" applyNumberFormat="1" applyFont="1" applyBorder="1"/>
    <xf numFmtId="0" fontId="0" fillId="0" borderId="4" xfId="6" applyNumberFormat="1" applyFont="1" applyBorder="1"/>
    <xf numFmtId="0" fontId="6" fillId="2" borderId="0" xfId="3" applyFont="1" applyFill="1" applyAlignment="1">
      <alignment horizontal="center" vertical="center" shrinkToFit="1"/>
    </xf>
    <xf numFmtId="49" fontId="3" fillId="2" borderId="2" xfId="3" applyNumberFormat="1" applyFont="1" applyFill="1" applyBorder="1" applyAlignment="1">
      <alignment horizontal="center" vertical="center" shrinkToFit="1"/>
    </xf>
    <xf numFmtId="49" fontId="0" fillId="0" borderId="0" xfId="0" applyNumberFormat="1"/>
    <xf numFmtId="49" fontId="0" fillId="3" borderId="0" xfId="0" applyNumberFormat="1" applyFill="1"/>
  </cellXfs>
  <cellStyles count="7">
    <cellStyle name="Millares" xfId="6" builtinId="3"/>
    <cellStyle name="Normal" xfId="0" builtinId="0"/>
    <cellStyle name="쉼표 [0] 2" xfId="1" xr:uid="{00000000-0005-0000-0000-000002000000}"/>
    <cellStyle name="쉼표 [0] 4" xfId="2" xr:uid="{00000000-0005-0000-0000-000003000000}"/>
    <cellStyle name="표준 2" xfId="3" xr:uid="{00000000-0005-0000-0000-000004000000}"/>
    <cellStyle name="표준 52" xfId="4" xr:uid="{00000000-0005-0000-0000-000005000000}"/>
    <cellStyle name="표준_RA-210426(5월오더)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B21" sqref="B21"/>
    </sheetView>
  </sheetViews>
  <sheetFormatPr baseColWidth="10" defaultRowHeight="15" x14ac:dyDescent="0.25"/>
  <cols>
    <col min="1" max="1" width="19.7109375" bestFit="1" customWidth="1"/>
    <col min="2" max="2" width="45.85546875" customWidth="1"/>
  </cols>
  <sheetData>
    <row r="1" spans="1:11" x14ac:dyDescent="0.25">
      <c r="A1" s="1" t="s">
        <v>0</v>
      </c>
      <c r="B1" s="3" t="s">
        <v>1</v>
      </c>
      <c r="C1" s="6" t="s">
        <v>2</v>
      </c>
      <c r="D1" s="5" t="s">
        <v>25</v>
      </c>
      <c r="E1" s="2" t="s">
        <v>26</v>
      </c>
      <c r="F1" s="2" t="s">
        <v>27</v>
      </c>
      <c r="G1" s="2" t="s">
        <v>28</v>
      </c>
      <c r="H1" s="9" t="s">
        <v>29</v>
      </c>
      <c r="I1" s="2" t="s">
        <v>30</v>
      </c>
      <c r="J1" s="10" t="s">
        <v>25</v>
      </c>
      <c r="K1" s="14" t="s">
        <v>31</v>
      </c>
    </row>
    <row r="2" spans="1:11" x14ac:dyDescent="0.25">
      <c r="A2" t="s">
        <v>3</v>
      </c>
      <c r="B2" t="s">
        <v>4</v>
      </c>
      <c r="C2" s="7">
        <v>28</v>
      </c>
      <c r="D2">
        <v>10</v>
      </c>
      <c r="E2">
        <v>2</v>
      </c>
      <c r="H2" s="12"/>
      <c r="I2">
        <v>2</v>
      </c>
      <c r="J2" s="7">
        <f>+C2-D2-E2-F2-G2-H2-I2</f>
        <v>14</v>
      </c>
      <c r="K2">
        <v>276</v>
      </c>
    </row>
    <row r="3" spans="1:11" x14ac:dyDescent="0.25">
      <c r="A3" t="s">
        <v>5</v>
      </c>
      <c r="B3" t="s">
        <v>6</v>
      </c>
      <c r="C3" s="7">
        <v>31</v>
      </c>
      <c r="D3">
        <v>10</v>
      </c>
      <c r="E3">
        <v>5</v>
      </c>
      <c r="F3">
        <v>2</v>
      </c>
      <c r="H3" s="12"/>
      <c r="I3">
        <v>5</v>
      </c>
      <c r="J3" s="7">
        <f t="shared" ref="J3:J12" si="0">+C3-D3-E3-F3-G3-H3-I3</f>
        <v>9</v>
      </c>
      <c r="K3">
        <v>33</v>
      </c>
    </row>
    <row r="4" spans="1:11" x14ac:dyDescent="0.25">
      <c r="A4" t="s">
        <v>7</v>
      </c>
      <c r="B4" t="s">
        <v>8</v>
      </c>
      <c r="C4" s="7">
        <v>200</v>
      </c>
      <c r="D4">
        <v>20</v>
      </c>
      <c r="E4">
        <v>5</v>
      </c>
      <c r="F4">
        <v>3</v>
      </c>
      <c r="G4">
        <v>5</v>
      </c>
      <c r="H4" s="12">
        <v>2</v>
      </c>
      <c r="I4">
        <v>5</v>
      </c>
      <c r="J4" s="7">
        <f t="shared" si="0"/>
        <v>160</v>
      </c>
      <c r="K4">
        <v>66</v>
      </c>
    </row>
    <row r="5" spans="1:11" x14ac:dyDescent="0.25">
      <c r="A5" t="s">
        <v>9</v>
      </c>
      <c r="B5" t="s">
        <v>10</v>
      </c>
      <c r="C5" s="7">
        <v>197</v>
      </c>
      <c r="D5">
        <v>20</v>
      </c>
      <c r="E5">
        <v>5</v>
      </c>
      <c r="F5">
        <v>3</v>
      </c>
      <c r="G5">
        <v>5</v>
      </c>
      <c r="H5" s="12">
        <v>2</v>
      </c>
      <c r="I5">
        <v>5</v>
      </c>
      <c r="J5" s="7">
        <f t="shared" si="0"/>
        <v>157</v>
      </c>
      <c r="K5">
        <v>84</v>
      </c>
    </row>
    <row r="6" spans="1:11" x14ac:dyDescent="0.25">
      <c r="A6" t="s">
        <v>11</v>
      </c>
      <c r="B6" t="s">
        <v>12</v>
      </c>
      <c r="C6" s="7">
        <v>150</v>
      </c>
      <c r="D6">
        <v>20</v>
      </c>
      <c r="E6">
        <v>8</v>
      </c>
      <c r="F6">
        <v>2</v>
      </c>
      <c r="G6">
        <v>5</v>
      </c>
      <c r="H6" s="12">
        <v>1</v>
      </c>
      <c r="I6">
        <v>8</v>
      </c>
      <c r="J6" s="7">
        <f t="shared" si="0"/>
        <v>106</v>
      </c>
      <c r="K6">
        <v>74</v>
      </c>
    </row>
    <row r="7" spans="1:11" x14ac:dyDescent="0.25">
      <c r="A7" t="s">
        <v>13</v>
      </c>
      <c r="B7" t="s">
        <v>14</v>
      </c>
      <c r="C7" s="7">
        <v>30</v>
      </c>
      <c r="D7">
        <v>10</v>
      </c>
      <c r="E7">
        <v>5</v>
      </c>
      <c r="H7" s="12"/>
      <c r="I7">
        <v>5</v>
      </c>
      <c r="J7" s="7">
        <f t="shared" si="0"/>
        <v>10</v>
      </c>
      <c r="K7">
        <v>250</v>
      </c>
    </row>
    <row r="8" spans="1:11" x14ac:dyDescent="0.25">
      <c r="A8" s="11" t="s">
        <v>15</v>
      </c>
      <c r="B8" t="s">
        <v>16</v>
      </c>
      <c r="C8" s="7">
        <v>202</v>
      </c>
      <c r="D8" s="11">
        <v>100</v>
      </c>
      <c r="E8">
        <v>8</v>
      </c>
      <c r="F8">
        <v>2</v>
      </c>
      <c r="G8">
        <v>10</v>
      </c>
      <c r="H8" s="12">
        <v>2</v>
      </c>
      <c r="I8">
        <v>8</v>
      </c>
      <c r="J8" s="7">
        <f t="shared" si="0"/>
        <v>72</v>
      </c>
      <c r="K8">
        <v>96</v>
      </c>
    </row>
    <row r="9" spans="1:11" x14ac:dyDescent="0.25">
      <c r="A9" t="s">
        <v>17</v>
      </c>
      <c r="B9" t="s">
        <v>18</v>
      </c>
      <c r="C9" s="7">
        <v>100</v>
      </c>
      <c r="D9">
        <v>20</v>
      </c>
      <c r="E9">
        <v>5</v>
      </c>
      <c r="F9">
        <v>2</v>
      </c>
      <c r="H9" s="12"/>
      <c r="I9">
        <v>5</v>
      </c>
      <c r="J9" s="7">
        <f t="shared" si="0"/>
        <v>68</v>
      </c>
      <c r="K9">
        <v>99</v>
      </c>
    </row>
    <row r="10" spans="1:11" x14ac:dyDescent="0.25">
      <c r="A10" t="s">
        <v>19</v>
      </c>
      <c r="B10" t="s">
        <v>20</v>
      </c>
      <c r="C10" s="7">
        <v>30</v>
      </c>
      <c r="D10">
        <v>10</v>
      </c>
      <c r="E10">
        <v>5</v>
      </c>
      <c r="H10" s="12"/>
      <c r="I10">
        <v>5</v>
      </c>
      <c r="J10" s="7">
        <f t="shared" si="0"/>
        <v>10</v>
      </c>
      <c r="K10">
        <v>394</v>
      </c>
    </row>
    <row r="11" spans="1:11" x14ac:dyDescent="0.25">
      <c r="A11" t="s">
        <v>21</v>
      </c>
      <c r="B11" t="s">
        <v>22</v>
      </c>
      <c r="C11" s="7">
        <v>50</v>
      </c>
      <c r="D11">
        <v>10</v>
      </c>
      <c r="E11">
        <v>8</v>
      </c>
      <c r="G11">
        <v>5</v>
      </c>
      <c r="H11" s="12"/>
      <c r="I11">
        <v>8</v>
      </c>
      <c r="J11" s="7">
        <f t="shared" si="0"/>
        <v>19</v>
      </c>
      <c r="K11">
        <v>112</v>
      </c>
    </row>
    <row r="12" spans="1:11" ht="15.75" thickBot="1" x14ac:dyDescent="0.3">
      <c r="A12" t="s">
        <v>23</v>
      </c>
      <c r="B12" t="s">
        <v>24</v>
      </c>
      <c r="C12" s="8">
        <v>50</v>
      </c>
      <c r="D12" s="4">
        <v>10</v>
      </c>
      <c r="E12" s="4">
        <v>8</v>
      </c>
      <c r="F12" s="4"/>
      <c r="G12" s="4">
        <v>5</v>
      </c>
      <c r="H12" s="13"/>
      <c r="I12" s="4">
        <v>8</v>
      </c>
      <c r="J12" s="7">
        <f t="shared" si="0"/>
        <v>19</v>
      </c>
      <c r="K12">
        <v>112</v>
      </c>
    </row>
  </sheetData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841BA-5B9C-4610-AB9B-E45359362B36}">
  <dimension ref="A1:C5"/>
  <sheetViews>
    <sheetView workbookViewId="0">
      <selection activeCell="D25" sqref="D25"/>
    </sheetView>
  </sheetViews>
  <sheetFormatPr baseColWidth="10" defaultRowHeight="15" x14ac:dyDescent="0.25"/>
  <cols>
    <col min="1" max="1" width="20" style="16" bestFit="1" customWidth="1"/>
  </cols>
  <sheetData>
    <row r="1" spans="1:3" x14ac:dyDescent="0.25">
      <c r="A1" s="15" t="s">
        <v>0</v>
      </c>
      <c r="B1" s="9" t="s">
        <v>29</v>
      </c>
      <c r="C1" s="14" t="s">
        <v>31</v>
      </c>
    </row>
    <row r="2" spans="1:3" x14ac:dyDescent="0.25">
      <c r="A2" s="16" t="s">
        <v>7</v>
      </c>
      <c r="B2" s="12">
        <v>2</v>
      </c>
      <c r="C2">
        <v>66</v>
      </c>
    </row>
    <row r="3" spans="1:3" x14ac:dyDescent="0.25">
      <c r="A3" s="16" t="s">
        <v>9</v>
      </c>
      <c r="B3" s="12">
        <v>2</v>
      </c>
      <c r="C3">
        <v>84</v>
      </c>
    </row>
    <row r="4" spans="1:3" x14ac:dyDescent="0.25">
      <c r="A4" s="16" t="s">
        <v>11</v>
      </c>
      <c r="B4" s="12">
        <v>1</v>
      </c>
      <c r="C4">
        <v>74</v>
      </c>
    </row>
    <row r="5" spans="1:3" x14ac:dyDescent="0.25">
      <c r="A5" s="17" t="s">
        <v>15</v>
      </c>
      <c r="B5" s="12">
        <v>2</v>
      </c>
      <c r="C5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C73A-A245-41E3-9B8A-B400B8F35B75}">
  <dimension ref="A1:C12"/>
  <sheetViews>
    <sheetView workbookViewId="0">
      <selection activeCell="E12" sqref="E12"/>
    </sheetView>
  </sheetViews>
  <sheetFormatPr baseColWidth="10" defaultRowHeight="15" x14ac:dyDescent="0.25"/>
  <cols>
    <col min="1" max="1" width="19.7109375" style="16" bestFit="1" customWidth="1"/>
  </cols>
  <sheetData>
    <row r="1" spans="1:3" x14ac:dyDescent="0.25">
      <c r="A1" s="15" t="s">
        <v>0</v>
      </c>
      <c r="B1" s="10" t="s">
        <v>25</v>
      </c>
      <c r="C1" s="14" t="s">
        <v>31</v>
      </c>
    </row>
    <row r="2" spans="1:3" x14ac:dyDescent="0.25">
      <c r="A2" s="16" t="s">
        <v>3</v>
      </c>
      <c r="B2" s="7">
        <v>14</v>
      </c>
      <c r="C2">
        <v>276</v>
      </c>
    </row>
    <row r="3" spans="1:3" x14ac:dyDescent="0.25">
      <c r="A3" s="16" t="s">
        <v>5</v>
      </c>
      <c r="B3" s="7">
        <v>9</v>
      </c>
      <c r="C3">
        <v>33</v>
      </c>
    </row>
    <row r="4" spans="1:3" x14ac:dyDescent="0.25">
      <c r="A4" s="16" t="s">
        <v>7</v>
      </c>
      <c r="B4" s="7">
        <v>160</v>
      </c>
      <c r="C4">
        <v>66</v>
      </c>
    </row>
    <row r="5" spans="1:3" x14ac:dyDescent="0.25">
      <c r="A5" s="16" t="s">
        <v>9</v>
      </c>
      <c r="B5" s="7">
        <v>157</v>
      </c>
      <c r="C5">
        <v>84</v>
      </c>
    </row>
    <row r="6" spans="1:3" x14ac:dyDescent="0.25">
      <c r="A6" s="16" t="s">
        <v>11</v>
      </c>
      <c r="B6" s="7">
        <v>106</v>
      </c>
      <c r="C6">
        <v>74</v>
      </c>
    </row>
    <row r="7" spans="1:3" x14ac:dyDescent="0.25">
      <c r="A7" s="16" t="s">
        <v>13</v>
      </c>
      <c r="B7" s="7">
        <v>10</v>
      </c>
      <c r="C7">
        <v>250</v>
      </c>
    </row>
    <row r="8" spans="1:3" x14ac:dyDescent="0.25">
      <c r="A8" s="17" t="s">
        <v>15</v>
      </c>
      <c r="B8" s="7">
        <v>72</v>
      </c>
      <c r="C8">
        <v>96</v>
      </c>
    </row>
    <row r="9" spans="1:3" x14ac:dyDescent="0.25">
      <c r="A9" s="16" t="s">
        <v>17</v>
      </c>
      <c r="B9" s="7">
        <v>68</v>
      </c>
      <c r="C9">
        <v>99</v>
      </c>
    </row>
    <row r="10" spans="1:3" x14ac:dyDescent="0.25">
      <c r="A10" s="16" t="s">
        <v>19</v>
      </c>
      <c r="B10" s="7">
        <v>10</v>
      </c>
      <c r="C10">
        <v>394</v>
      </c>
    </row>
    <row r="11" spans="1:3" x14ac:dyDescent="0.25">
      <c r="A11" s="16" t="s">
        <v>21</v>
      </c>
      <c r="B11" s="7">
        <v>19</v>
      </c>
      <c r="C11">
        <v>112</v>
      </c>
    </row>
    <row r="12" spans="1:3" x14ac:dyDescent="0.25">
      <c r="A12" s="16" t="s">
        <v>23</v>
      </c>
      <c r="B12" s="7">
        <v>19</v>
      </c>
      <c r="C12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G15" sqref="G15"/>
    </sheetView>
  </sheetViews>
  <sheetFormatPr baseColWidth="10" defaultRowHeight="15" x14ac:dyDescent="0.25"/>
  <cols>
    <col min="1" max="1" width="19.7109375" style="16" bestFit="1" customWidth="1"/>
  </cols>
  <sheetData>
    <row r="1" spans="1:3" x14ac:dyDescent="0.25">
      <c r="A1" s="15" t="s">
        <v>0</v>
      </c>
      <c r="B1" s="5" t="s">
        <v>25</v>
      </c>
      <c r="C1" s="14" t="s">
        <v>31</v>
      </c>
    </row>
    <row r="2" spans="1:3" x14ac:dyDescent="0.25">
      <c r="A2" s="16" t="s">
        <v>3</v>
      </c>
      <c r="B2">
        <v>10</v>
      </c>
      <c r="C2">
        <v>276</v>
      </c>
    </row>
    <row r="3" spans="1:3" x14ac:dyDescent="0.25">
      <c r="A3" s="16" t="s">
        <v>5</v>
      </c>
      <c r="B3">
        <v>10</v>
      </c>
      <c r="C3">
        <v>33</v>
      </c>
    </row>
    <row r="4" spans="1:3" x14ac:dyDescent="0.25">
      <c r="A4" s="16" t="s">
        <v>7</v>
      </c>
      <c r="B4">
        <v>20</v>
      </c>
      <c r="C4">
        <v>66</v>
      </c>
    </row>
    <row r="5" spans="1:3" x14ac:dyDescent="0.25">
      <c r="A5" s="16" t="s">
        <v>9</v>
      </c>
      <c r="B5">
        <v>20</v>
      </c>
      <c r="C5">
        <v>84</v>
      </c>
    </row>
    <row r="6" spans="1:3" x14ac:dyDescent="0.25">
      <c r="A6" s="16" t="s">
        <v>11</v>
      </c>
      <c r="B6">
        <v>20</v>
      </c>
      <c r="C6">
        <v>74</v>
      </c>
    </row>
    <row r="7" spans="1:3" x14ac:dyDescent="0.25">
      <c r="A7" s="16" t="s">
        <v>13</v>
      </c>
      <c r="B7">
        <v>10</v>
      </c>
      <c r="C7">
        <v>250</v>
      </c>
    </row>
    <row r="8" spans="1:3" x14ac:dyDescent="0.25">
      <c r="A8" s="17" t="s">
        <v>15</v>
      </c>
      <c r="B8" s="11">
        <v>100</v>
      </c>
      <c r="C8">
        <v>96</v>
      </c>
    </row>
    <row r="9" spans="1:3" x14ac:dyDescent="0.25">
      <c r="A9" s="16" t="s">
        <v>17</v>
      </c>
      <c r="B9">
        <v>20</v>
      </c>
      <c r="C9">
        <v>99</v>
      </c>
    </row>
    <row r="10" spans="1:3" x14ac:dyDescent="0.25">
      <c r="A10" s="16" t="s">
        <v>19</v>
      </c>
      <c r="B10">
        <v>10</v>
      </c>
      <c r="C10">
        <v>394</v>
      </c>
    </row>
    <row r="11" spans="1:3" x14ac:dyDescent="0.25">
      <c r="A11" s="16" t="s">
        <v>21</v>
      </c>
      <c r="B11">
        <v>10</v>
      </c>
      <c r="C11">
        <v>112</v>
      </c>
    </row>
    <row r="12" spans="1:3" ht="15.75" thickBot="1" x14ac:dyDescent="0.3">
      <c r="A12" s="16" t="s">
        <v>23</v>
      </c>
      <c r="B12" s="4">
        <v>10</v>
      </c>
      <c r="C12">
        <v>112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2534-21F0-410D-992C-3FA9A996B583}">
  <dimension ref="A1:C12"/>
  <sheetViews>
    <sheetView workbookViewId="0">
      <selection sqref="A1:A1048576"/>
    </sheetView>
  </sheetViews>
  <sheetFormatPr baseColWidth="10" defaultRowHeight="15" x14ac:dyDescent="0.25"/>
  <cols>
    <col min="1" max="1" width="19.7109375" style="16" bestFit="1" customWidth="1"/>
  </cols>
  <sheetData>
    <row r="1" spans="1:3" x14ac:dyDescent="0.25">
      <c r="A1" s="15" t="s">
        <v>0</v>
      </c>
      <c r="B1" s="2" t="s">
        <v>30</v>
      </c>
      <c r="C1" s="14" t="s">
        <v>31</v>
      </c>
    </row>
    <row r="2" spans="1:3" x14ac:dyDescent="0.25">
      <c r="A2" s="16" t="s">
        <v>3</v>
      </c>
      <c r="B2">
        <v>2</v>
      </c>
      <c r="C2">
        <v>276</v>
      </c>
    </row>
    <row r="3" spans="1:3" x14ac:dyDescent="0.25">
      <c r="A3" s="16" t="s">
        <v>5</v>
      </c>
      <c r="B3">
        <v>5</v>
      </c>
      <c r="C3">
        <v>33</v>
      </c>
    </row>
    <row r="4" spans="1:3" x14ac:dyDescent="0.25">
      <c r="A4" s="16" t="s">
        <v>7</v>
      </c>
      <c r="B4">
        <v>5</v>
      </c>
      <c r="C4">
        <v>66</v>
      </c>
    </row>
    <row r="5" spans="1:3" x14ac:dyDescent="0.25">
      <c r="A5" s="16" t="s">
        <v>9</v>
      </c>
      <c r="B5">
        <v>5</v>
      </c>
      <c r="C5">
        <v>84</v>
      </c>
    </row>
    <row r="6" spans="1:3" x14ac:dyDescent="0.25">
      <c r="A6" s="16" t="s">
        <v>11</v>
      </c>
      <c r="B6">
        <v>8</v>
      </c>
      <c r="C6">
        <v>74</v>
      </c>
    </row>
    <row r="7" spans="1:3" x14ac:dyDescent="0.25">
      <c r="A7" s="16" t="s">
        <v>13</v>
      </c>
      <c r="B7">
        <v>5</v>
      </c>
      <c r="C7">
        <v>250</v>
      </c>
    </row>
    <row r="8" spans="1:3" x14ac:dyDescent="0.25">
      <c r="A8" s="17" t="s">
        <v>15</v>
      </c>
      <c r="B8">
        <v>8</v>
      </c>
      <c r="C8">
        <v>96</v>
      </c>
    </row>
    <row r="9" spans="1:3" x14ac:dyDescent="0.25">
      <c r="A9" s="16" t="s">
        <v>17</v>
      </c>
      <c r="B9">
        <v>5</v>
      </c>
      <c r="C9">
        <v>99</v>
      </c>
    </row>
    <row r="10" spans="1:3" x14ac:dyDescent="0.25">
      <c r="A10" s="16" t="s">
        <v>19</v>
      </c>
      <c r="B10">
        <v>5</v>
      </c>
      <c r="C10">
        <v>394</v>
      </c>
    </row>
    <row r="11" spans="1:3" x14ac:dyDescent="0.25">
      <c r="A11" s="16" t="s">
        <v>21</v>
      </c>
      <c r="B11">
        <v>8</v>
      </c>
      <c r="C11">
        <v>112</v>
      </c>
    </row>
    <row r="12" spans="1:3" ht="15.75" thickBot="1" x14ac:dyDescent="0.3">
      <c r="A12" s="16" t="s">
        <v>23</v>
      </c>
      <c r="B12" s="4">
        <v>8</v>
      </c>
      <c r="C12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D5DB-DCF5-477A-98E4-FB285C861C18}">
  <dimension ref="A1:C12"/>
  <sheetViews>
    <sheetView workbookViewId="0">
      <selection activeCell="F19" sqref="F19"/>
    </sheetView>
  </sheetViews>
  <sheetFormatPr baseColWidth="10" defaultRowHeight="15" x14ac:dyDescent="0.25"/>
  <cols>
    <col min="1" max="1" width="19.7109375" style="16" bestFit="1" customWidth="1"/>
  </cols>
  <sheetData>
    <row r="1" spans="1:3" x14ac:dyDescent="0.25">
      <c r="A1" s="15" t="s">
        <v>0</v>
      </c>
      <c r="B1" s="2" t="s">
        <v>26</v>
      </c>
      <c r="C1" s="14" t="s">
        <v>31</v>
      </c>
    </row>
    <row r="2" spans="1:3" x14ac:dyDescent="0.25">
      <c r="A2" s="16" t="s">
        <v>3</v>
      </c>
      <c r="B2">
        <v>2</v>
      </c>
      <c r="C2">
        <v>276</v>
      </c>
    </row>
    <row r="3" spans="1:3" x14ac:dyDescent="0.25">
      <c r="A3" s="16" t="s">
        <v>5</v>
      </c>
      <c r="B3">
        <v>5</v>
      </c>
      <c r="C3">
        <v>33</v>
      </c>
    </row>
    <row r="4" spans="1:3" x14ac:dyDescent="0.25">
      <c r="A4" s="16" t="s">
        <v>7</v>
      </c>
      <c r="B4">
        <v>5</v>
      </c>
      <c r="C4">
        <v>66</v>
      </c>
    </row>
    <row r="5" spans="1:3" x14ac:dyDescent="0.25">
      <c r="A5" s="16" t="s">
        <v>9</v>
      </c>
      <c r="B5">
        <v>5</v>
      </c>
      <c r="C5">
        <v>84</v>
      </c>
    </row>
    <row r="6" spans="1:3" x14ac:dyDescent="0.25">
      <c r="A6" s="16" t="s">
        <v>11</v>
      </c>
      <c r="B6">
        <v>8</v>
      </c>
      <c r="C6">
        <v>74</v>
      </c>
    </row>
    <row r="7" spans="1:3" x14ac:dyDescent="0.25">
      <c r="A7" s="16" t="s">
        <v>13</v>
      </c>
      <c r="B7">
        <v>5</v>
      </c>
      <c r="C7">
        <v>250</v>
      </c>
    </row>
    <row r="8" spans="1:3" x14ac:dyDescent="0.25">
      <c r="A8" s="17" t="s">
        <v>15</v>
      </c>
      <c r="B8">
        <v>8</v>
      </c>
      <c r="C8">
        <v>96</v>
      </c>
    </row>
    <row r="9" spans="1:3" x14ac:dyDescent="0.25">
      <c r="A9" s="16" t="s">
        <v>17</v>
      </c>
      <c r="B9">
        <v>5</v>
      </c>
      <c r="C9">
        <v>99</v>
      </c>
    </row>
    <row r="10" spans="1:3" x14ac:dyDescent="0.25">
      <c r="A10" s="16" t="s">
        <v>19</v>
      </c>
      <c r="B10">
        <v>5</v>
      </c>
      <c r="C10">
        <v>394</v>
      </c>
    </row>
    <row r="11" spans="1:3" x14ac:dyDescent="0.25">
      <c r="A11" s="16" t="s">
        <v>21</v>
      </c>
      <c r="B11">
        <v>8</v>
      </c>
      <c r="C11">
        <v>112</v>
      </c>
    </row>
    <row r="12" spans="1:3" ht="15.75" thickBot="1" x14ac:dyDescent="0.3">
      <c r="A12" s="16" t="s">
        <v>23</v>
      </c>
      <c r="B12" s="4">
        <v>8</v>
      </c>
      <c r="C12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CDE8-E210-46BA-9D58-B25A879B596F}">
  <dimension ref="A1:C7"/>
  <sheetViews>
    <sheetView workbookViewId="0">
      <selection activeCell="G25" sqref="G25"/>
    </sheetView>
  </sheetViews>
  <sheetFormatPr baseColWidth="10" defaultRowHeight="15" x14ac:dyDescent="0.25"/>
  <cols>
    <col min="1" max="1" width="19.7109375" style="16" bestFit="1" customWidth="1"/>
  </cols>
  <sheetData>
    <row r="1" spans="1:3" x14ac:dyDescent="0.25">
      <c r="A1" s="15" t="s">
        <v>0</v>
      </c>
      <c r="B1" s="2" t="s">
        <v>28</v>
      </c>
      <c r="C1" s="14" t="s">
        <v>31</v>
      </c>
    </row>
    <row r="2" spans="1:3" x14ac:dyDescent="0.25">
      <c r="A2" s="16" t="s">
        <v>7</v>
      </c>
      <c r="B2">
        <v>5</v>
      </c>
      <c r="C2">
        <v>66</v>
      </c>
    </row>
    <row r="3" spans="1:3" x14ac:dyDescent="0.25">
      <c r="A3" s="16" t="s">
        <v>9</v>
      </c>
      <c r="B3">
        <v>5</v>
      </c>
      <c r="C3">
        <v>84</v>
      </c>
    </row>
    <row r="4" spans="1:3" x14ac:dyDescent="0.25">
      <c r="A4" s="16" t="s">
        <v>11</v>
      </c>
      <c r="B4">
        <v>5</v>
      </c>
      <c r="C4">
        <v>74</v>
      </c>
    </row>
    <row r="5" spans="1:3" x14ac:dyDescent="0.25">
      <c r="A5" s="17" t="s">
        <v>15</v>
      </c>
      <c r="B5">
        <v>10</v>
      </c>
      <c r="C5">
        <v>96</v>
      </c>
    </row>
    <row r="6" spans="1:3" x14ac:dyDescent="0.25">
      <c r="A6" s="16" t="s">
        <v>21</v>
      </c>
      <c r="B6">
        <v>5</v>
      </c>
      <c r="C6">
        <v>112</v>
      </c>
    </row>
    <row r="7" spans="1:3" ht="15.75" thickBot="1" x14ac:dyDescent="0.3">
      <c r="A7" s="16" t="s">
        <v>23</v>
      </c>
      <c r="B7" s="4">
        <v>5</v>
      </c>
      <c r="C7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61A7-D84E-413E-9310-4E205C690A30}">
  <dimension ref="A1:C7"/>
  <sheetViews>
    <sheetView tabSelected="1" workbookViewId="0">
      <selection activeCell="G16" sqref="G16"/>
    </sheetView>
  </sheetViews>
  <sheetFormatPr baseColWidth="10" defaultRowHeight="15" x14ac:dyDescent="0.25"/>
  <cols>
    <col min="1" max="1" width="19.7109375" style="16" bestFit="1" customWidth="1"/>
  </cols>
  <sheetData>
    <row r="1" spans="1:3" x14ac:dyDescent="0.25">
      <c r="A1" s="15" t="s">
        <v>0</v>
      </c>
      <c r="B1" s="2" t="s">
        <v>27</v>
      </c>
      <c r="C1" s="14" t="s">
        <v>31</v>
      </c>
    </row>
    <row r="2" spans="1:3" x14ac:dyDescent="0.25">
      <c r="A2" s="16" t="s">
        <v>5</v>
      </c>
      <c r="B2">
        <v>2</v>
      </c>
      <c r="C2">
        <v>33</v>
      </c>
    </row>
    <row r="3" spans="1:3" x14ac:dyDescent="0.25">
      <c r="A3" s="16" t="s">
        <v>7</v>
      </c>
      <c r="B3">
        <v>3</v>
      </c>
      <c r="C3">
        <v>66</v>
      </c>
    </row>
    <row r="4" spans="1:3" x14ac:dyDescent="0.25">
      <c r="A4" s="16" t="s">
        <v>9</v>
      </c>
      <c r="B4">
        <v>3</v>
      </c>
      <c r="C4">
        <v>84</v>
      </c>
    </row>
    <row r="5" spans="1:3" x14ac:dyDescent="0.25">
      <c r="A5" s="16" t="s">
        <v>11</v>
      </c>
      <c r="B5">
        <v>2</v>
      </c>
      <c r="C5">
        <v>74</v>
      </c>
    </row>
    <row r="6" spans="1:3" x14ac:dyDescent="0.25">
      <c r="A6" s="17" t="s">
        <v>15</v>
      </c>
      <c r="B6">
        <v>2</v>
      </c>
      <c r="C6">
        <v>96</v>
      </c>
    </row>
    <row r="7" spans="1:3" x14ac:dyDescent="0.25">
      <c r="A7" s="16" t="s">
        <v>17</v>
      </c>
      <c r="B7">
        <v>2</v>
      </c>
      <c r="C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MASTER</vt:lpstr>
      <vt:lpstr>JAPAN</vt:lpstr>
      <vt:lpstr>ARA-1</vt:lpstr>
      <vt:lpstr>ARA-2</vt:lpstr>
      <vt:lpstr>ABC-1</vt:lpstr>
      <vt:lpstr>ABC-2</vt:lpstr>
      <vt:lpstr>CENTRAL</vt:lpstr>
      <vt:lpstr>IMPORTACION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User</cp:lastModifiedBy>
  <dcterms:created xsi:type="dcterms:W3CDTF">2019-03-13T17:37:04Z</dcterms:created>
  <dcterms:modified xsi:type="dcterms:W3CDTF">2024-05-23T20:29:07Z</dcterms:modified>
</cp:coreProperties>
</file>